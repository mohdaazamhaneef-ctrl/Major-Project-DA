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n\Downloads\"/>
    </mc:Choice>
  </mc:AlternateContent>
  <xr:revisionPtr revIDLastSave="0" documentId="13_ncr:1_{9C33E62D-F9D8-4485-AE33-CF58B56BB5CF}" xr6:coauthVersionLast="47" xr6:coauthVersionMax="47" xr10:uidLastSave="{00000000-0000-0000-0000-000000000000}"/>
  <bookViews>
    <workbookView xWindow="-110" yWindow="-110" windowWidth="19420" windowHeight="10300" activeTab="1" xr2:uid="{2B41D531-2FB8-4737-B991-CAD326BA9849}"/>
  </bookViews>
  <sheets>
    <sheet name="Pivot" sheetId="2" r:id="rId1"/>
    <sheet name="Dashboard" sheetId="6" r:id="rId2"/>
    <sheet name="Data" sheetId="1" r:id="rId3"/>
  </sheets>
  <definedNames>
    <definedName name="Slicer_Department">#N/A</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6" i="2" l="1"/>
  <c r="P15" i="2"/>
  <c r="E17" i="2"/>
  <c r="E15" i="2"/>
  <c r="E14" i="2"/>
  <c r="E16" i="2"/>
  <c r="E13" i="2"/>
  <c r="L11" i="2"/>
  <c r="L12" i="2"/>
  <c r="L10" i="2"/>
  <c r="V15" i="2"/>
  <c r="V16" i="2"/>
  <c r="V14" i="2"/>
  <c r="V13" i="2"/>
  <c r="V12" i="2"/>
  <c r="U12" i="2"/>
  <c r="U13" i="2"/>
  <c r="U14" i="2"/>
  <c r="U15" i="2"/>
  <c r="U16" i="2"/>
  <c r="Q15" i="2" l="1"/>
  <c r="R15" i="2" s="1"/>
  <c r="Q16" i="2"/>
  <c r="R16" i="2" s="1"/>
  <c r="L15" i="2"/>
  <c r="M15" i="2" s="1"/>
  <c r="L17" i="2"/>
  <c r="M17" i="2" s="1"/>
  <c r="L16" i="2"/>
  <c r="M16" i="2" s="1"/>
  <c r="L13" i="2"/>
</calcChain>
</file>

<file path=xl/sharedStrings.xml><?xml version="1.0" encoding="utf-8"?>
<sst xmlns="http://schemas.openxmlformats.org/spreadsheetml/2006/main" count="1606" uniqueCount="329">
  <si>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</si>
  <si>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</si>
  <si>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</si>
  <si>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</si>
  <si>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</si>
  <si>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</si>
  <si>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</si>
  <si>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</si>
  <si>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</si>
  <si>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</si>
  <si>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</si>
  <si>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</si>
  <si>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</si>
  <si>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</si>
  <si>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</si>
  <si>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</si>
  <si>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</si>
  <si>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</si>
  <si>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</si>
  <si>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</si>
  <si>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</si>
  <si>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</si>
  <si>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</si>
  <si>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</si>
  <si>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</si>
  <si>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</si>
  <si>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</si>
  <si>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</si>
  <si>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</si>
  <si>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</si>
  <si>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</si>
  <si>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</si>
  <si>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</si>
  <si>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</si>
  <si>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</si>
  <si>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</si>
  <si>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</si>
  <si>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</si>
  <si>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</si>
  <si>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</si>
  <si>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</si>
  <si>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</si>
  <si>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</si>
  <si>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</si>
  <si>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</si>
  <si>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</si>
  <si>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</si>
  <si>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</si>
  <si>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</si>
  <si>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</si>
  <si>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</si>
  <si>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</si>
  <si>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</si>
  <si>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</si>
  <si>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</si>
  <si>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</si>
  <si>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</si>
  <si>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</si>
  <si>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</si>
  <si>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</si>
  <si>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</si>
  <si>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</si>
  <si>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</si>
  <si>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</si>
  <si>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</si>
  <si>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</si>
  <si>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</si>
  <si>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</si>
  <si>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</si>
  <si>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</si>
  <si>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</si>
  <si>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</si>
  <si>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</si>
  <si>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</si>
  <si>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</si>
  <si>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</si>
  <si>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</si>
  <si>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</si>
  <si>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</si>
  <si>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</si>
  <si>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</si>
  <si>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</si>
  <si>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</si>
  <si>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</si>
  <si>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</si>
  <si>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</si>
  <si>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</si>
  <si>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</si>
  <si>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</si>
  <si>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</si>
  <si>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</si>
  <si>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</si>
  <si>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</si>
  <si>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</si>
  <si>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</si>
  <si>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</si>
  <si>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</si>
  <si>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</si>
  <si>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</si>
  <si>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</si>
  <si>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</si>
  <si>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</si>
  <si>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</si>
  <si>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</si>
  <si>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</si>
  <si>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</si>
  <si>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</si>
  <si>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</si>
  <si>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</si>
  <si>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</si>
  <si>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</si>
  <si>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</si>
  <si>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</si>
  <si>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</si>
  <si>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</si>
  <si>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</si>
  <si>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</si>
  <si>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</si>
  <si>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</si>
  <si>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</si>
  <si>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</si>
  <si>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</si>
  <si>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</si>
  <si>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</si>
  <si>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</si>
  <si>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</si>
  <si>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</si>
  <si>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</si>
  <si>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</si>
  <si>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</si>
  <si>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</si>
  <si>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</si>
  <si>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</si>
  <si>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</si>
  <si>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</si>
  <si>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</si>
  <si>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</si>
  <si>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</si>
  <si>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</si>
  <si>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</si>
  <si>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</si>
  <si>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</si>
  <si>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</si>
  <si>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</si>
  <si>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</si>
  <si>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</si>
  <si>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</si>
  <si>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</si>
  <si>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</si>
  <si>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</si>
  <si>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</si>
  <si>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</si>
  <si>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</si>
  <si>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</si>
  <si>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</si>
  <si>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</si>
  <si>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</si>
  <si>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</si>
  <si>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</si>
  <si>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</si>
  <si>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</si>
  <si>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</si>
  <si>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</si>
  <si>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</si>
  <si>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</si>
  <si>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</si>
  <si>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</si>
  <si>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</si>
  <si>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</si>
  <si>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</si>
  <si>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</si>
  <si>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</si>
  <si>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</si>
  <si>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</si>
  <si>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</si>
  <si>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</si>
  <si>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</si>
  <si>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</si>
  <si>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</si>
  <si>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</si>
  <si>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</si>
  <si>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</si>
  <si>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</si>
  <si>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</si>
  <si>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</si>
  <si>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</si>
  <si>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</si>
  <si>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</si>
  <si>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</si>
  <si>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</si>
  <si>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</si>
  <si>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</si>
  <si>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</si>
  <si>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</si>
  <si>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</si>
  <si>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</si>
  <si>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</si>
  <si>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</si>
  <si>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</si>
  <si>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</si>
  <si>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</si>
  <si>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</si>
  <si>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</si>
  <si>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</si>
  <si>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</si>
  <si>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</si>
  <si>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</si>
  <si>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</si>
  <si>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</si>
  <si>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</si>
  <si>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</si>
  <si>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Robin Lynch</t>
  </si>
  <si>
    <t>2016-08-25</t>
  </si>
  <si>
    <t>Henry Taylor</t>
  </si>
  <si>
    <t>Michael Scott</t>
  </si>
  <si>
    <t>2021-05-30</t>
  </si>
  <si>
    <t>Grace Lewis</t>
  </si>
  <si>
    <t>2017-01-24</t>
  </si>
  <si>
    <t>Ava King</t>
  </si>
  <si>
    <t>Sarah Adams</t>
  </si>
  <si>
    <t>2021-03-13</t>
  </si>
  <si>
    <t>Sophia Thomas</t>
  </si>
  <si>
    <t>Robert King</t>
  </si>
  <si>
    <t>2017-08-02</t>
  </si>
  <si>
    <t>Grace Young</t>
  </si>
  <si>
    <t>2017-04-14</t>
  </si>
  <si>
    <t>Mason Walker</t>
  </si>
  <si>
    <t>2022-11-07</t>
  </si>
  <si>
    <t>Henry Wilson</t>
  </si>
  <si>
    <t>Emily Davis</t>
  </si>
  <si>
    <t>2025-01-25</t>
  </si>
  <si>
    <t>Noah Martin</t>
  </si>
  <si>
    <t>John Carter</t>
  </si>
  <si>
    <t>2016-07-18</t>
  </si>
  <si>
    <t>Mason Wilson</t>
  </si>
  <si>
    <t>2020-05-09</t>
  </si>
  <si>
    <t>Lucas Moore</t>
  </si>
  <si>
    <t>2022-07-06</t>
  </si>
  <si>
    <t>Mason Hall</t>
  </si>
  <si>
    <t>2020-02-06</t>
  </si>
  <si>
    <t>Noah Walker</t>
  </si>
  <si>
    <t>2024-11-20</t>
  </si>
  <si>
    <t>Noah Moore</t>
  </si>
  <si>
    <t>2015-09-26</t>
  </si>
  <si>
    <t>Isabella Clark</t>
  </si>
  <si>
    <t>2022-02-15</t>
  </si>
  <si>
    <t>2020-04-24</t>
  </si>
  <si>
    <t>Henry Johnson</t>
  </si>
  <si>
    <t>2021-03-27</t>
  </si>
  <si>
    <t>2019-03-23</t>
  </si>
  <si>
    <t>Mia Lee</t>
  </si>
  <si>
    <t>2016-03-02</t>
  </si>
  <si>
    <t>Ethan King</t>
  </si>
  <si>
    <t>2020-08-03</t>
  </si>
  <si>
    <t>Olivia Brown</t>
  </si>
  <si>
    <t>Lisa Brown</t>
  </si>
  <si>
    <t>2025-06-06</t>
  </si>
  <si>
    <t>Liam King</t>
  </si>
  <si>
    <t>2021-11-05</t>
  </si>
  <si>
    <t>Isabella Thomas</t>
  </si>
  <si>
    <t>Liam Young</t>
  </si>
  <si>
    <t>2020-11-06</t>
  </si>
  <si>
    <t>Ava Martin</t>
  </si>
  <si>
    <t>2025-06-13</t>
  </si>
  <si>
    <t>James Taylor</t>
  </si>
  <si>
    <t>2025-04-01</t>
  </si>
  <si>
    <t>Aria Hall</t>
  </si>
  <si>
    <t>2016-10-12</t>
  </si>
  <si>
    <t>Ava Johnson</t>
  </si>
  <si>
    <t>2018-08-03</t>
  </si>
  <si>
    <t>Sophia King</t>
  </si>
  <si>
    <t>2021-12-03</t>
  </si>
  <si>
    <t>2022-12-30</t>
  </si>
  <si>
    <t>2019-11-01</t>
  </si>
  <si>
    <t>Isabella Johnson</t>
  </si>
  <si>
    <t>2024-04-07</t>
  </si>
  <si>
    <t>Henry Lee</t>
  </si>
  <si>
    <t>2025-04-27</t>
  </si>
  <si>
    <t>Olivia Taylor</t>
  </si>
  <si>
    <t>2020-11-27</t>
  </si>
  <si>
    <t>Liam Hall</t>
  </si>
  <si>
    <t>2025-03-27</t>
  </si>
  <si>
    <t>Emma Taylor</t>
  </si>
  <si>
    <t>2014-08-05</t>
  </si>
  <si>
    <t>Mason Johnson</t>
  </si>
  <si>
    <t>2017-08-03</t>
  </si>
  <si>
    <t>2016-05-17</t>
  </si>
  <si>
    <t>Liam Moore</t>
  </si>
  <si>
    <t>2025-01-12</t>
  </si>
  <si>
    <t>Noah Lee</t>
  </si>
  <si>
    <t>2023-03-07</t>
  </si>
  <si>
    <t>Grace Lee</t>
  </si>
  <si>
    <t>2025-01-07</t>
  </si>
  <si>
    <t>Grace Walker</t>
  </si>
  <si>
    <t>2019-08-18</t>
  </si>
  <si>
    <t>2025-01-18</t>
  </si>
  <si>
    <t>Noah Lewis</t>
  </si>
  <si>
    <t>2022-09-11</t>
  </si>
  <si>
    <t>2021-05-03</t>
  </si>
  <si>
    <t>Henry Moore</t>
  </si>
  <si>
    <t>James Lee</t>
  </si>
  <si>
    <t>2022-10-15</t>
  </si>
  <si>
    <t>2020-07-30</t>
  </si>
  <si>
    <t>Grace Clark</t>
  </si>
  <si>
    <t>2022-04-20</t>
  </si>
  <si>
    <t>Ava Wilson</t>
  </si>
  <si>
    <t>2020-09-17</t>
  </si>
  <si>
    <t>Isabella Smith</t>
  </si>
  <si>
    <t>2016-02-17</t>
  </si>
  <si>
    <t>Row Labels</t>
  </si>
  <si>
    <t>Grand Total</t>
  </si>
  <si>
    <t>Count of Full Name</t>
  </si>
  <si>
    <t>Average of Performance Rating</t>
  </si>
  <si>
    <t xml:space="preserve">KPI Names </t>
  </si>
  <si>
    <t>Values</t>
  </si>
  <si>
    <t>Total Employee</t>
  </si>
  <si>
    <t>Average Performance Rating</t>
  </si>
  <si>
    <t>Part Time Emp</t>
  </si>
  <si>
    <t>Full Time Emp</t>
  </si>
  <si>
    <t>Contract Emp</t>
  </si>
  <si>
    <t>KPI Sections</t>
  </si>
  <si>
    <t>Skills Performance</t>
  </si>
  <si>
    <t>Work Locations</t>
  </si>
  <si>
    <t>Total</t>
  </si>
  <si>
    <t>Column Labels</t>
  </si>
  <si>
    <t>Salary to Department</t>
  </si>
  <si>
    <t>Sum of Salary</t>
  </si>
  <si>
    <t>Sum of Leave Taken</t>
  </si>
  <si>
    <t>age range  and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</si>
</sst>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439]#,##0"/>
    <numFmt numFmtId="167" formatCode="_ [$₹-439]* #,##0_ ;_ [$₹-439]* \-#,##0_ ;_ [$₹-439]* &quot;-&quot;_ ;_ @_ "/>
  </numFmts>
  <fonts count="4">
    <font>
      <sz val="11"/>
      <color theme="1"/>
      <name val="Aptos Narrow"/>
      <family val="2"/>
      <scheme val="minor"/>
    </font>
    <font>
      <b/>
      <sz val="11"/>
      <color theme="1"/>
      <name val="Kulim Park"/>
    </font>
    <font>
      <sz val="11"/>
      <color theme="1"/>
      <name val="Kulim Park"/>
    </font>
    <font>
      <b/>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s>
  <borders count="7">
    <border>
      <left/>
      <right/>
      <top/>
      <bottom/>
      <diagonal/>
    </border>
    <border>
      <left/>
      <right/>
      <top style="thin">
        <color theme="1" tint="0.499984740745262"/>
      </top>
      <bottom style="thin">
        <color theme="1" tint="0.499984740745262"/>
      </bottom>
      <diagonal/>
    </border>
    <border>
      <left/>
      <right/>
      <top style="thin">
        <color theme="1" tint="0.499984740745262"/>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3" xfId="0" applyBorder="1" applyAlignment="1">
      <alignment horizontal="left"/>
    </xf>
    <xf numFmtId="0" fontId="0" fillId="0" borderId="3" xfId="0" applyBorder="1"/>
    <xf numFmtId="0" fontId="3" fillId="2" borderId="3" xfId="0" applyFont="1" applyFill="1" applyBorder="1" applyAlignment="1">
      <alignment horizontal="left"/>
    </xf>
    <xf numFmtId="0" fontId="3" fillId="2" borderId="3" xfId="0" applyFont="1" applyFill="1" applyBorder="1"/>
    <xf numFmtId="0" fontId="0" fillId="0" borderId="3" xfId="0" applyNumberFormat="1" applyFont="1" applyFill="1" applyBorder="1"/>
    <xf numFmtId="9" fontId="0" fillId="0" borderId="3" xfId="0" applyNumberFormat="1" applyBorder="1"/>
    <xf numFmtId="0" fontId="0" fillId="0" borderId="6" xfId="0" applyBorder="1"/>
    <xf numFmtId="0" fontId="3" fillId="2" borderId="0" xfId="0" applyFont="1" applyFill="1" applyBorder="1"/>
    <xf numFmtId="9" fontId="0" fillId="0" borderId="6" xfId="0" applyNumberFormat="1" applyBorder="1"/>
    <xf numFmtId="0" fontId="3" fillId="3" borderId="3" xfId="0" applyFont="1" applyFill="1" applyBorder="1" applyAlignment="1">
      <alignment horizontal="center" vertical="center"/>
    </xf>
    <xf numFmtId="0" fontId="0" fillId="3" borderId="3" xfId="0" applyFill="1" applyBorder="1" applyAlignment="1">
      <alignment horizontal="center" vertical="center"/>
    </xf>
    <xf numFmtId="0" fontId="3" fillId="3" borderId="4" xfId="0" applyFont="1" applyFill="1" applyBorder="1" applyAlignment="1">
      <alignment horizontal="center" vertical="center"/>
    </xf>
    <xf numFmtId="0" fontId="0" fillId="3" borderId="5" xfId="0" applyFill="1" applyBorder="1" applyAlignment="1">
      <alignment horizontal="center" vertical="center"/>
    </xf>
    <xf numFmtId="166" fontId="0" fillId="0" borderId="3" xfId="0" applyNumberFormat="1" applyBorder="1"/>
    <xf numFmtId="167" fontId="0" fillId="0" borderId="0" xfId="0" applyNumberFormat="1"/>
  </cellXfs>
  <cellStyles count="1">
    <cellStyle name="Normal" xfId="0" builtinId="0"/>
  </cellStyles>
  <dxfs count="30">
    <dxf>
      <font>
        <b/>
        <color theme="1"/>
      </font>
      <border>
        <bottom style="thin">
          <color theme="5"/>
        </bottom>
        <vertical/>
        <horizontal/>
      </border>
    </dxf>
    <dxf>
      <font>
        <b/>
        <i val="0"/>
        <sz val="9"/>
        <color theme="1"/>
      </font>
      <fill>
        <patternFill patternType="solid">
          <bgColor theme="1" tint="0.14996795556505021"/>
        </patternFill>
      </fill>
      <border diagonalUp="0" diagonalDown="0">
        <left/>
        <right/>
        <top/>
        <bottom/>
        <vertical/>
        <horizontal/>
      </border>
    </dxf>
    <dxf>
      <fill>
        <patternFill>
          <bgColor rgb="FFFF0000"/>
        </patternFill>
      </fill>
    </dxf>
    <dxf>
      <fill>
        <patternFill patternType="solid">
          <bgColor theme="1"/>
        </patternFill>
      </fill>
    </dxf>
    <dxf>
      <numFmt numFmtId="167" formatCode="_ [$₹-439]* #,##0_ ;_ [$₹-439]* \-#,##0_ ;_ [$₹-439]* &quot;-&quot;_ ;_ @_ "/>
    </dxf>
    <dxf>
      <numFmt numFmtId="167" formatCode="_ [$₹-439]* #,##0_ ;_ [$₹-439]* \-#,##0_ ;_ [$₹-439]* &quot;-&quot;_ ;_ @_ "/>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1"/>
        <color theme="1"/>
        <name val="Kulim Park"/>
        <scheme val="none"/>
      </font>
      <fill>
        <patternFill patternType="none">
          <fgColor indexed="64"/>
          <bgColor auto="1"/>
        </patternFill>
      </fill>
      <alignment horizontal="center" vertical="center" textRotation="0" wrapText="0" indent="0" justifyLastLine="0" shrinkToFit="0" readingOrder="0"/>
    </dxf>
    <dxf>
      <numFmt numFmtId="165" formatCode="_ [$₹-439]* #,##0.00_ ;_ [$₹-439]* \-#,##0.00_ ;_ [$₹-439]* &quot;-&quot;??_ ;_ @_ "/>
    </dxf>
  </dxfs>
  <tableStyles count="3" defaultTableStyle="TableStyleMedium2" defaultPivotStyle="PivotStyleLight16">
    <tableStyle name="Slicer Style 1" pivot="0" table="0" count="1" xr9:uid="{67734A87-4D48-4D6B-88D1-D87387357B2B}">
      <tableStyleElement type="wholeTable" dxfId="3"/>
    </tableStyle>
    <tableStyle name="Slicer Style 2" pivot="0" table="0" count="1" xr9:uid="{98F87FF0-096D-4F15-B427-DCB96C5B46DF}">
      <tableStyleElement type="wholeTable" dxfId="2"/>
    </tableStyle>
    <tableStyle name="SlicerStyleDark2 2" pivot="0" table="0" count="10" xr9:uid="{70D46E0B-438F-4BCD-AA57-C33718CD58CE}">
      <tableStyleElement type="wholeTable" dxfId="1"/>
      <tableStyleElement type="headerRow" dxfId="0"/>
    </tableStyle>
  </tableStyles>
  <colors>
    <mruColors>
      <color rgb="FFFF0000"/>
      <color rgb="FF33CCFF"/>
      <color rgb="FF47373A"/>
      <color rgb="FF3D2F32"/>
      <color rgb="FF685056"/>
      <color rgb="FF614B5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FF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2.xlsx]Pivot!PivotTable3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17439604138449"/>
          <c:y val="6.6031029384517076E-2"/>
          <c:w val="0.60282567339789617"/>
          <c:h val="0.8679379412309659"/>
        </c:manualLayout>
      </c:layout>
      <c:barChart>
        <c:barDir val="bar"/>
        <c:grouping val="clustered"/>
        <c:varyColors val="0"/>
        <c:ser>
          <c:idx val="0"/>
          <c:order val="0"/>
          <c:tx>
            <c:strRef>
              <c:f>Pivot!$H$3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Pivot!$G$4:$G$9</c:f>
              <c:strCache>
                <c:ptCount val="5"/>
                <c:pt idx="0">
                  <c:v>Communication</c:v>
                </c:pt>
                <c:pt idx="1">
                  <c:v>Design</c:v>
                </c:pt>
                <c:pt idx="2">
                  <c:v>Excel</c:v>
                </c:pt>
                <c:pt idx="3">
                  <c:v>Management</c:v>
                </c:pt>
                <c:pt idx="4">
                  <c:v>Python</c:v>
                </c:pt>
              </c:strCache>
            </c:strRef>
          </c:cat>
          <c:val>
            <c:numRef>
              <c:f>Pivot!$H$4:$H$9</c:f>
              <c:numCache>
                <c:formatCode>General</c:formatCode>
                <c:ptCount val="5"/>
                <c:pt idx="0">
                  <c:v>19</c:v>
                </c:pt>
                <c:pt idx="1">
                  <c:v>25</c:v>
                </c:pt>
                <c:pt idx="2">
                  <c:v>15</c:v>
                </c:pt>
                <c:pt idx="3">
                  <c:v>19</c:v>
                </c:pt>
                <c:pt idx="4">
                  <c:v>21</c:v>
                </c:pt>
              </c:numCache>
            </c:numRef>
          </c:val>
          <c:extLst>
            <c:ext xmlns:c16="http://schemas.microsoft.com/office/drawing/2014/chart" uri="{C3380CC4-5D6E-409C-BE32-E72D297353CC}">
              <c16:uniqueId val="{00000000-5CA1-4AB2-8599-ECCCF8F2D9F5}"/>
            </c:ext>
          </c:extLst>
        </c:ser>
        <c:dLbls>
          <c:showLegendKey val="0"/>
          <c:showVal val="0"/>
          <c:showCatName val="0"/>
          <c:showSerName val="0"/>
          <c:showPercent val="0"/>
          <c:showBubbleSize val="0"/>
        </c:dLbls>
        <c:gapWidth val="182"/>
        <c:axId val="1700872464"/>
        <c:axId val="1700871504"/>
      </c:barChart>
      <c:catAx>
        <c:axId val="17008724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00871504"/>
        <c:crosses val="autoZero"/>
        <c:auto val="1"/>
        <c:lblAlgn val="ctr"/>
        <c:lblOffset val="100"/>
        <c:noMultiLvlLbl val="0"/>
      </c:catAx>
      <c:valAx>
        <c:axId val="1700871504"/>
        <c:scaling>
          <c:orientation val="minMax"/>
        </c:scaling>
        <c:delete val="1"/>
        <c:axPos val="b"/>
        <c:numFmt formatCode="General" sourceLinked="1"/>
        <c:majorTickMark val="none"/>
        <c:minorTickMark val="none"/>
        <c:tickLblPos val="nextTo"/>
        <c:crossAx val="170087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9850-4577-8057-001C335ECCA8}"/>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850-4577-8057-001C335ECCA8}"/>
              </c:ext>
            </c:extLst>
          </c:dPt>
          <c:dLbls>
            <c:delete val="1"/>
          </c:dLbls>
          <c:val>
            <c:numRef>
              <c:f>Pivot!$Q$16:$R$16</c:f>
              <c:numCache>
                <c:formatCode>0%</c:formatCode>
                <c:ptCount val="2"/>
                <c:pt idx="0">
                  <c:v>0.48484848484848486</c:v>
                </c:pt>
                <c:pt idx="1">
                  <c:v>0.51515151515151514</c:v>
                </c:pt>
              </c:numCache>
            </c:numRef>
          </c:val>
          <c:extLst>
            <c:ext xmlns:c16="http://schemas.microsoft.com/office/drawing/2014/chart" uri="{C3380CC4-5D6E-409C-BE32-E72D297353CC}">
              <c16:uniqueId val="{00000004-9850-4577-8057-001C335ECCA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719507890063788"/>
          <c:y val="0.11673813430400633"/>
          <c:w val="0.48802471704547012"/>
          <c:h val="0.8394850653319913"/>
        </c:manualLayout>
      </c:layout>
      <c:doughnut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CCA8-48DE-91A6-93824591652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CA8-48DE-91A6-93824591652F}"/>
              </c:ext>
            </c:extLst>
          </c:dPt>
          <c:dLbls>
            <c:delete val="1"/>
          </c:dLbls>
          <c:val>
            <c:numRef>
              <c:f>Pivot!$Q$15:$R$15</c:f>
              <c:numCache>
                <c:formatCode>0%</c:formatCode>
                <c:ptCount val="2"/>
                <c:pt idx="0">
                  <c:v>0.51515151515151514</c:v>
                </c:pt>
                <c:pt idx="1">
                  <c:v>0.48484848484848486</c:v>
                </c:pt>
              </c:numCache>
            </c:numRef>
          </c:val>
          <c:extLst>
            <c:ext xmlns:c16="http://schemas.microsoft.com/office/drawing/2014/chart" uri="{C3380CC4-5D6E-409C-BE32-E72D297353CC}">
              <c16:uniqueId val="{00000004-CCA8-48DE-91A6-93824591652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2.xlsx]Pivot!PivotTable7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35835307663187E-2"/>
          <c:y val="1.8785546201099727E-2"/>
          <c:w val="0.9282149625299575"/>
          <c:h val="0.82477024707159796"/>
        </c:manualLayout>
      </c:layout>
      <c:barChart>
        <c:barDir val="col"/>
        <c:grouping val="clustered"/>
        <c:varyColors val="0"/>
        <c:ser>
          <c:idx val="0"/>
          <c:order val="0"/>
          <c:tx>
            <c:strRef>
              <c:f>Pivot!$P$3:$P$4</c:f>
              <c:strCache>
                <c:ptCount val="1"/>
                <c:pt idx="0">
                  <c:v>Female</c:v>
                </c:pt>
              </c:strCache>
            </c:strRef>
          </c:tx>
          <c:spPr>
            <a:solidFill>
              <a:schemeClr val="bg1">
                <a:lumMod val="85000"/>
              </a:schemeClr>
            </a:solidFill>
            <a:ln>
              <a:noFill/>
            </a:ln>
            <a:effectLst/>
          </c:spPr>
          <c:invertIfNegative val="0"/>
          <c:cat>
            <c:strRef>
              <c:f>Pivot!$O$5:$O$10</c:f>
              <c:strCache>
                <c:ptCount val="5"/>
                <c:pt idx="0">
                  <c:v>18-25</c:v>
                </c:pt>
                <c:pt idx="1">
                  <c:v>26-35</c:v>
                </c:pt>
                <c:pt idx="2">
                  <c:v>36-45</c:v>
                </c:pt>
                <c:pt idx="3">
                  <c:v>46-55</c:v>
                </c:pt>
                <c:pt idx="4">
                  <c:v>56 &lt;</c:v>
                </c:pt>
              </c:strCache>
            </c:strRef>
          </c:cat>
          <c:val>
            <c:numRef>
              <c:f>Pivot!$P$5:$P$10</c:f>
              <c:numCache>
                <c:formatCode>General</c:formatCode>
                <c:ptCount val="5"/>
                <c:pt idx="0">
                  <c:v>8</c:v>
                </c:pt>
                <c:pt idx="1">
                  <c:v>13</c:v>
                </c:pt>
                <c:pt idx="2">
                  <c:v>11</c:v>
                </c:pt>
                <c:pt idx="3">
                  <c:v>8</c:v>
                </c:pt>
                <c:pt idx="4">
                  <c:v>8</c:v>
                </c:pt>
              </c:numCache>
            </c:numRef>
          </c:val>
          <c:extLst>
            <c:ext xmlns:c16="http://schemas.microsoft.com/office/drawing/2014/chart" uri="{C3380CC4-5D6E-409C-BE32-E72D297353CC}">
              <c16:uniqueId val="{00000000-BA8E-4313-8049-9331DD987D67}"/>
            </c:ext>
          </c:extLst>
        </c:ser>
        <c:ser>
          <c:idx val="1"/>
          <c:order val="1"/>
          <c:tx>
            <c:strRef>
              <c:f>Pivot!$Q$3:$Q$4</c:f>
              <c:strCache>
                <c:ptCount val="1"/>
                <c:pt idx="0">
                  <c:v>Male</c:v>
                </c:pt>
              </c:strCache>
            </c:strRef>
          </c:tx>
          <c:spPr>
            <a:solidFill>
              <a:srgbClr val="FF0000"/>
            </a:solidFill>
            <a:ln>
              <a:noFill/>
            </a:ln>
            <a:effectLst/>
          </c:spPr>
          <c:invertIfNegative val="0"/>
          <c:cat>
            <c:strRef>
              <c:f>Pivot!$O$5:$O$10</c:f>
              <c:strCache>
                <c:ptCount val="5"/>
                <c:pt idx="0">
                  <c:v>18-25</c:v>
                </c:pt>
                <c:pt idx="1">
                  <c:v>26-35</c:v>
                </c:pt>
                <c:pt idx="2">
                  <c:v>36-45</c:v>
                </c:pt>
                <c:pt idx="3">
                  <c:v>46-55</c:v>
                </c:pt>
                <c:pt idx="4">
                  <c:v>56 &lt;</c:v>
                </c:pt>
              </c:strCache>
            </c:strRef>
          </c:cat>
          <c:val>
            <c:numRef>
              <c:f>Pivot!$Q$5:$Q$10</c:f>
              <c:numCache>
                <c:formatCode>General</c:formatCode>
                <c:ptCount val="5"/>
                <c:pt idx="0">
                  <c:v>7</c:v>
                </c:pt>
                <c:pt idx="1">
                  <c:v>11</c:v>
                </c:pt>
                <c:pt idx="2">
                  <c:v>15</c:v>
                </c:pt>
                <c:pt idx="3">
                  <c:v>11</c:v>
                </c:pt>
                <c:pt idx="4">
                  <c:v>7</c:v>
                </c:pt>
              </c:numCache>
            </c:numRef>
          </c:val>
          <c:extLst>
            <c:ext xmlns:c16="http://schemas.microsoft.com/office/drawing/2014/chart" uri="{C3380CC4-5D6E-409C-BE32-E72D297353CC}">
              <c16:uniqueId val="{00000002-4CB3-46C7-90DB-7A18C9850211}"/>
            </c:ext>
          </c:extLst>
        </c:ser>
        <c:dLbls>
          <c:showLegendKey val="0"/>
          <c:showVal val="0"/>
          <c:showCatName val="0"/>
          <c:showSerName val="0"/>
          <c:showPercent val="0"/>
          <c:showBubbleSize val="0"/>
        </c:dLbls>
        <c:gapWidth val="219"/>
        <c:overlap val="-27"/>
        <c:axId val="1501825072"/>
        <c:axId val="1501820272"/>
      </c:barChart>
      <c:catAx>
        <c:axId val="150182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501820272"/>
        <c:crosses val="autoZero"/>
        <c:auto val="1"/>
        <c:lblAlgn val="ctr"/>
        <c:lblOffset val="100"/>
        <c:noMultiLvlLbl val="0"/>
      </c:catAx>
      <c:valAx>
        <c:axId val="15018202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0182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48158030462484E-2"/>
          <c:y val="6.538466260365608E-2"/>
          <c:w val="0.91670368393907509"/>
          <c:h val="0.88934903251688968"/>
        </c:manualLayout>
      </c:layout>
      <c:barChart>
        <c:barDir val="bar"/>
        <c:grouping val="stacked"/>
        <c:varyColors val="0"/>
        <c:ser>
          <c:idx val="0"/>
          <c:order val="0"/>
          <c:spPr>
            <a:solidFill>
              <a:srgbClr val="FF0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3-BCC6-49AA-941A-840BA572D59B}"/>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BCC6-49AA-941A-840BA572D59B}"/>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BCC6-49AA-941A-840BA572D59B}"/>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BCC6-49AA-941A-840BA572D59B}"/>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5-BCC6-49AA-941A-840BA572D5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Pivot!$L$15:$L$17</c:f>
              <c:numCache>
                <c:formatCode>0%</c:formatCode>
                <c:ptCount val="3"/>
                <c:pt idx="0">
                  <c:v>0.37373737373737376</c:v>
                </c:pt>
                <c:pt idx="1">
                  <c:v>0.30303030303030304</c:v>
                </c:pt>
                <c:pt idx="2">
                  <c:v>0.32323232323232326</c:v>
                </c:pt>
              </c:numCache>
            </c:numRef>
          </c:val>
          <c:extLst>
            <c:ext xmlns:c16="http://schemas.microsoft.com/office/drawing/2014/chart" uri="{C3380CC4-5D6E-409C-BE32-E72D297353CC}">
              <c16:uniqueId val="{00000000-BCC6-49AA-941A-840BA572D59B}"/>
            </c:ext>
          </c:extLst>
        </c:ser>
        <c:ser>
          <c:idx val="1"/>
          <c:order val="1"/>
          <c:spPr>
            <a:solidFill>
              <a:schemeClr val="bg1">
                <a:lumMod val="85000"/>
              </a:schemeClr>
            </a:solidFill>
            <a:ln>
              <a:noFill/>
            </a:ln>
            <a:effectLst/>
          </c:spPr>
          <c:invertIfNegative val="0"/>
          <c:dLbls>
            <c:delete val="1"/>
          </c:dLbls>
          <c:val>
            <c:numRef>
              <c:f>Pivot!$M$15:$M$17</c:f>
              <c:numCache>
                <c:formatCode>0%</c:formatCode>
                <c:ptCount val="3"/>
                <c:pt idx="0">
                  <c:v>0.6262626262626263</c:v>
                </c:pt>
                <c:pt idx="1">
                  <c:v>0.69696969696969702</c:v>
                </c:pt>
                <c:pt idx="2">
                  <c:v>0.67676767676767668</c:v>
                </c:pt>
              </c:numCache>
            </c:numRef>
          </c:val>
          <c:extLst>
            <c:ext xmlns:c16="http://schemas.microsoft.com/office/drawing/2014/chart" uri="{C3380CC4-5D6E-409C-BE32-E72D297353CC}">
              <c16:uniqueId val="{00000001-BCC6-49AA-941A-840BA572D59B}"/>
            </c:ext>
          </c:extLst>
        </c:ser>
        <c:dLbls>
          <c:dLblPos val="ctr"/>
          <c:showLegendKey val="0"/>
          <c:showVal val="1"/>
          <c:showCatName val="0"/>
          <c:showSerName val="0"/>
          <c:showPercent val="0"/>
          <c:showBubbleSize val="0"/>
        </c:dLbls>
        <c:gapWidth val="150"/>
        <c:overlap val="100"/>
        <c:axId val="421656591"/>
        <c:axId val="421655631"/>
      </c:barChart>
      <c:catAx>
        <c:axId val="421656591"/>
        <c:scaling>
          <c:orientation val="minMax"/>
        </c:scaling>
        <c:delete val="1"/>
        <c:axPos val="l"/>
        <c:majorTickMark val="none"/>
        <c:minorTickMark val="none"/>
        <c:tickLblPos val="nextTo"/>
        <c:crossAx val="421655631"/>
        <c:crosses val="autoZero"/>
        <c:auto val="1"/>
        <c:lblAlgn val="ctr"/>
        <c:lblOffset val="100"/>
        <c:noMultiLvlLbl val="0"/>
      </c:catAx>
      <c:valAx>
        <c:axId val="421655631"/>
        <c:scaling>
          <c:orientation val="minMax"/>
        </c:scaling>
        <c:delete val="1"/>
        <c:axPos val="b"/>
        <c:numFmt formatCode="0%" sourceLinked="1"/>
        <c:majorTickMark val="none"/>
        <c:minorTickMark val="none"/>
        <c:tickLblPos val="nextTo"/>
        <c:crossAx val="4216565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0000"/>
            </a:solidFill>
            <a:ln>
              <a:noFill/>
              <a:prstDash val="sysDash"/>
            </a:ln>
            <a:effectLst/>
          </c:spPr>
          <c:invertIfNegative val="0"/>
          <c:dPt>
            <c:idx val="1"/>
            <c:invertIfNegative val="0"/>
            <c:bubble3D val="0"/>
            <c:spPr>
              <a:solidFill>
                <a:schemeClr val="bg1">
                  <a:lumMod val="85000"/>
                </a:schemeClr>
              </a:solidFill>
              <a:ln>
                <a:noFill/>
                <a:prstDash val="sysDash"/>
              </a:ln>
              <a:effectLst/>
            </c:spPr>
            <c:extLst>
              <c:ext xmlns:c16="http://schemas.microsoft.com/office/drawing/2014/chart" uri="{C3380CC4-5D6E-409C-BE32-E72D297353CC}">
                <c16:uniqueId val="{00000001-3A67-400F-976F-CF0774430D24}"/>
              </c:ext>
            </c:extLst>
          </c:dPt>
          <c:dPt>
            <c:idx val="2"/>
            <c:invertIfNegative val="0"/>
            <c:bubble3D val="0"/>
            <c:spPr>
              <a:solidFill>
                <a:srgbClr val="92D050"/>
              </a:solidFill>
              <a:ln>
                <a:noFill/>
                <a:prstDash val="sysDash"/>
              </a:ln>
              <a:effectLst/>
            </c:spPr>
            <c:extLst>
              <c:ext xmlns:c16="http://schemas.microsoft.com/office/drawing/2014/chart" uri="{C3380CC4-5D6E-409C-BE32-E72D297353CC}">
                <c16:uniqueId val="{00000002-3A67-400F-976F-CF0774430D24}"/>
              </c:ext>
            </c:extLst>
          </c:dPt>
          <c:dPt>
            <c:idx val="3"/>
            <c:invertIfNegative val="0"/>
            <c:bubble3D val="0"/>
            <c:spPr>
              <a:solidFill>
                <a:schemeClr val="bg1">
                  <a:lumMod val="65000"/>
                </a:schemeClr>
              </a:solidFill>
              <a:ln>
                <a:noFill/>
                <a:prstDash val="sysDash"/>
              </a:ln>
              <a:effectLst/>
            </c:spPr>
            <c:extLst>
              <c:ext xmlns:c16="http://schemas.microsoft.com/office/drawing/2014/chart" uri="{C3380CC4-5D6E-409C-BE32-E72D297353CC}">
                <c16:uniqueId val="{00000003-3A67-400F-976F-CF0774430D24}"/>
              </c:ext>
            </c:extLst>
          </c:dPt>
          <c:dPt>
            <c:idx val="4"/>
            <c:invertIfNegative val="0"/>
            <c:bubble3D val="0"/>
            <c:spPr>
              <a:solidFill>
                <a:schemeClr val="accent2">
                  <a:lumMod val="75000"/>
                </a:schemeClr>
              </a:solidFill>
              <a:ln>
                <a:noFill/>
                <a:prstDash val="sysDash"/>
              </a:ln>
              <a:effectLst/>
            </c:spPr>
            <c:extLst>
              <c:ext xmlns:c16="http://schemas.microsoft.com/office/drawing/2014/chart" uri="{C3380CC4-5D6E-409C-BE32-E72D297353CC}">
                <c16:uniqueId val="{00000004-3A67-400F-976F-CF0774430D24}"/>
              </c:ext>
            </c:extLst>
          </c:dPt>
          <c:cat>
            <c:strRef>
              <c:f>Pivot!$T$12:$T$16</c:f>
              <c:strCache>
                <c:ptCount val="5"/>
                <c:pt idx="0">
                  <c:v>Analyst</c:v>
                </c:pt>
                <c:pt idx="1">
                  <c:v>Designer</c:v>
                </c:pt>
                <c:pt idx="2">
                  <c:v>Developer</c:v>
                </c:pt>
                <c:pt idx="3">
                  <c:v>HR Specialist</c:v>
                </c:pt>
                <c:pt idx="4">
                  <c:v>Manager</c:v>
                </c:pt>
              </c:strCache>
            </c:strRef>
          </c:cat>
          <c:val>
            <c:numRef>
              <c:f>Pivot!$V$12:$V$16</c:f>
              <c:numCache>
                <c:formatCode>General</c:formatCode>
                <c:ptCount val="5"/>
                <c:pt idx="0">
                  <c:v>207</c:v>
                </c:pt>
                <c:pt idx="1">
                  <c:v>159</c:v>
                </c:pt>
                <c:pt idx="2">
                  <c:v>212</c:v>
                </c:pt>
                <c:pt idx="3">
                  <c:v>234</c:v>
                </c:pt>
                <c:pt idx="4">
                  <c:v>238</c:v>
                </c:pt>
              </c:numCache>
            </c:numRef>
          </c:val>
          <c:extLst>
            <c:ext xmlns:c16="http://schemas.microsoft.com/office/drawing/2014/chart" uri="{C3380CC4-5D6E-409C-BE32-E72D297353CC}">
              <c16:uniqueId val="{00000000-3A67-400F-976F-CF0774430D24}"/>
            </c:ext>
          </c:extLst>
        </c:ser>
        <c:dLbls>
          <c:showLegendKey val="0"/>
          <c:showVal val="0"/>
          <c:showCatName val="0"/>
          <c:showSerName val="0"/>
          <c:showPercent val="0"/>
          <c:showBubbleSize val="0"/>
        </c:dLbls>
        <c:gapWidth val="100"/>
        <c:overlap val="-27"/>
        <c:axId val="620196671"/>
        <c:axId val="620195711"/>
      </c:barChart>
      <c:catAx>
        <c:axId val="620196671"/>
        <c:scaling>
          <c:orientation val="minMax"/>
        </c:scaling>
        <c:delete val="1"/>
        <c:axPos val="b"/>
        <c:numFmt formatCode="General" sourceLinked="1"/>
        <c:majorTickMark val="out"/>
        <c:minorTickMark val="none"/>
        <c:tickLblPos val="nextTo"/>
        <c:crossAx val="620195711"/>
        <c:crosses val="autoZero"/>
        <c:auto val="1"/>
        <c:lblAlgn val="ctr"/>
        <c:lblOffset val="100"/>
        <c:noMultiLvlLbl val="0"/>
      </c:catAx>
      <c:valAx>
        <c:axId val="6201957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20196671"/>
        <c:crosses val="autoZero"/>
        <c:crossBetween val="between"/>
      </c:valAx>
      <c:spPr>
        <a:noFill/>
        <a:ln>
          <a:noFill/>
        </a:ln>
        <a:effectLst/>
      </c:spPr>
    </c:plotArea>
    <c:legend>
      <c:legendPos val="b"/>
      <c:layout>
        <c:manualLayout>
          <c:xMode val="edge"/>
          <c:yMode val="edge"/>
          <c:x val="4.7054592547744689E-2"/>
          <c:y val="0.83309999098036536"/>
          <c:w val="0.90589081490451051"/>
          <c:h val="0.123123183505903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prstDash val="sysDash"/>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2.xlsx]Pivot!PivotTable9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7519046745395"/>
          <c:y val="0.17030967223617088"/>
          <c:w val="0.7175728556116685"/>
          <c:h val="0.82969032776382912"/>
        </c:manualLayout>
      </c:layout>
      <c:barChart>
        <c:barDir val="bar"/>
        <c:grouping val="clustered"/>
        <c:varyColors val="0"/>
        <c:ser>
          <c:idx val="0"/>
          <c:order val="0"/>
          <c:tx>
            <c:strRef>
              <c:f>Pivot!$Y$3</c:f>
              <c:strCache>
                <c:ptCount val="1"/>
                <c:pt idx="0">
                  <c:v>Total</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Pivot!$X$4:$X$9</c:f>
              <c:strCache>
                <c:ptCount val="5"/>
                <c:pt idx="0">
                  <c:v>Central</c:v>
                </c:pt>
                <c:pt idx="1">
                  <c:v>East</c:v>
                </c:pt>
                <c:pt idx="2">
                  <c:v>North</c:v>
                </c:pt>
                <c:pt idx="3">
                  <c:v>South</c:v>
                </c:pt>
                <c:pt idx="4">
                  <c:v>West</c:v>
                </c:pt>
              </c:strCache>
            </c:strRef>
          </c:cat>
          <c:val>
            <c:numRef>
              <c:f>Pivot!$Y$4:$Y$9</c:f>
              <c:numCache>
                <c:formatCode>General</c:formatCode>
                <c:ptCount val="5"/>
                <c:pt idx="0">
                  <c:v>26</c:v>
                </c:pt>
                <c:pt idx="1">
                  <c:v>18</c:v>
                </c:pt>
                <c:pt idx="2">
                  <c:v>17</c:v>
                </c:pt>
                <c:pt idx="3">
                  <c:v>24</c:v>
                </c:pt>
                <c:pt idx="4">
                  <c:v>14</c:v>
                </c:pt>
              </c:numCache>
            </c:numRef>
          </c:val>
          <c:extLst>
            <c:ext xmlns:c16="http://schemas.microsoft.com/office/drawing/2014/chart" uri="{C3380CC4-5D6E-409C-BE32-E72D297353CC}">
              <c16:uniqueId val="{00000000-D15B-4D33-B479-34ED69DBC229}"/>
            </c:ext>
          </c:extLst>
        </c:ser>
        <c:dLbls>
          <c:dLblPos val="outEnd"/>
          <c:showLegendKey val="0"/>
          <c:showVal val="1"/>
          <c:showCatName val="0"/>
          <c:showSerName val="0"/>
          <c:showPercent val="0"/>
          <c:showBubbleSize val="0"/>
        </c:dLbls>
        <c:gapWidth val="70"/>
        <c:axId val="646425551"/>
        <c:axId val="646434671"/>
      </c:barChart>
      <c:catAx>
        <c:axId val="6464255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46434671"/>
        <c:crosses val="autoZero"/>
        <c:auto val="1"/>
        <c:lblAlgn val="ctr"/>
        <c:lblOffset val="100"/>
        <c:noMultiLvlLbl val="0"/>
      </c:catAx>
      <c:valAx>
        <c:axId val="646434671"/>
        <c:scaling>
          <c:orientation val="minMax"/>
        </c:scaling>
        <c:delete val="1"/>
        <c:axPos val="b"/>
        <c:numFmt formatCode="General" sourceLinked="1"/>
        <c:majorTickMark val="none"/>
        <c:minorTickMark val="none"/>
        <c:tickLblPos val="nextTo"/>
        <c:crossAx val="64642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2.xlsx]Pivot!PivotTable1</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c:f>
              <c:strCache>
                <c:ptCount val="1"/>
                <c:pt idx="0">
                  <c:v>Total</c:v>
                </c:pt>
              </c:strCache>
            </c:strRef>
          </c:tx>
          <c:dPt>
            <c:idx val="0"/>
            <c:bubble3D val="0"/>
            <c:spPr>
              <a:solidFill>
                <a:srgbClr val="FF0000"/>
              </a:solidFill>
              <a:ln w="19050">
                <a:noFill/>
              </a:ln>
              <a:effectLst/>
            </c:spPr>
            <c:extLst>
              <c:ext xmlns:c16="http://schemas.microsoft.com/office/drawing/2014/chart" uri="{C3380CC4-5D6E-409C-BE32-E72D297353CC}">
                <c16:uniqueId val="{00000001-84D9-41F1-8980-4DF0B9A016F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84D9-41F1-8980-4DF0B9A016F6}"/>
              </c:ext>
            </c:extLst>
          </c:dPt>
          <c:dPt>
            <c:idx val="2"/>
            <c:bubble3D val="0"/>
            <c:spPr>
              <a:solidFill>
                <a:schemeClr val="bg1"/>
              </a:solidFill>
              <a:ln w="19050">
                <a:noFill/>
              </a:ln>
              <a:effectLst/>
            </c:spPr>
            <c:extLst>
              <c:ext xmlns:c16="http://schemas.microsoft.com/office/drawing/2014/chart" uri="{C3380CC4-5D6E-409C-BE32-E72D297353CC}">
                <c16:uniqueId val="{00000005-84D9-41F1-8980-4DF0B9A016F6}"/>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D9-41F1-8980-4DF0B9A016F6}"/>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D9-41F1-8980-4DF0B9A016F6}"/>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D9-41F1-8980-4DF0B9A016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Pivot!$A$4:$A$7</c:f>
              <c:strCache>
                <c:ptCount val="3"/>
                <c:pt idx="0">
                  <c:v>Contract</c:v>
                </c:pt>
                <c:pt idx="1">
                  <c:v>Full-Time</c:v>
                </c:pt>
                <c:pt idx="2">
                  <c:v>Part-Time</c:v>
                </c:pt>
              </c:strCache>
            </c:strRef>
          </c:cat>
          <c:val>
            <c:numRef>
              <c:f>Pivot!$B$4:$B$7</c:f>
              <c:numCache>
                <c:formatCode>General</c:formatCode>
                <c:ptCount val="3"/>
                <c:pt idx="0">
                  <c:v>31</c:v>
                </c:pt>
                <c:pt idx="1">
                  <c:v>40</c:v>
                </c:pt>
                <c:pt idx="2">
                  <c:v>28</c:v>
                </c:pt>
              </c:numCache>
            </c:numRef>
          </c:val>
          <c:extLst>
            <c:ext xmlns:c16="http://schemas.microsoft.com/office/drawing/2014/chart" uri="{C3380CC4-5D6E-409C-BE32-E72D297353CC}">
              <c16:uniqueId val="{00000006-84D9-41F1-8980-4DF0B9A016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5.png"/><Relationship Id="rId26"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4.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3.png"/><Relationship Id="rId23" Type="http://schemas.openxmlformats.org/officeDocument/2006/relationships/chart" Target="../charts/chart7.xml"/><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chart" Target="../charts/chart6.xml"/><Relationship Id="rId27"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373535</xdr:colOff>
      <xdr:row>1</xdr:row>
      <xdr:rowOff>74708</xdr:rowOff>
    </xdr:from>
    <xdr:to>
      <xdr:col>25</xdr:col>
      <xdr:colOff>274325</xdr:colOff>
      <xdr:row>33</xdr:row>
      <xdr:rowOff>133278</xdr:rowOff>
    </xdr:to>
    <xdr:sp macro="" textlink="">
      <xdr:nvSpPr>
        <xdr:cNvPr id="4" name="Rectangle 3">
          <a:extLst>
            <a:ext uri="{FF2B5EF4-FFF2-40B4-BE49-F238E27FC236}">
              <a16:creationId xmlns:a16="http://schemas.microsoft.com/office/drawing/2014/main" id="{1321E475-2174-DF61-6CDC-2035E7A6C08B}"/>
            </a:ext>
          </a:extLst>
        </xdr:cNvPr>
        <xdr:cNvSpPr/>
      </xdr:nvSpPr>
      <xdr:spPr>
        <a:xfrm>
          <a:off x="1595610" y="254425"/>
          <a:ext cx="13954658" cy="5809513"/>
        </a:xfrm>
        <a:prstGeom prst="rect">
          <a:avLst/>
        </a:prstGeom>
        <a:solidFill>
          <a:srgbClr val="4737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332753</xdr:colOff>
      <xdr:row>1</xdr:row>
      <xdr:rowOff>100542</xdr:rowOff>
    </xdr:from>
    <xdr:to>
      <xdr:col>25</xdr:col>
      <xdr:colOff>243107</xdr:colOff>
      <xdr:row>3</xdr:row>
      <xdr:rowOff>97014</xdr:rowOff>
    </xdr:to>
    <xdr:sp macro="" textlink="">
      <xdr:nvSpPr>
        <xdr:cNvPr id="5" name="Rectangle 4">
          <a:extLst>
            <a:ext uri="{FF2B5EF4-FFF2-40B4-BE49-F238E27FC236}">
              <a16:creationId xmlns:a16="http://schemas.microsoft.com/office/drawing/2014/main" id="{28960891-F99A-4D68-A398-ECAA39C28594}"/>
            </a:ext>
          </a:extLst>
        </xdr:cNvPr>
        <xdr:cNvSpPr/>
      </xdr:nvSpPr>
      <xdr:spPr>
        <a:xfrm>
          <a:off x="3375461" y="285750"/>
          <a:ext cx="12081188" cy="366889"/>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rgbClr val="FF0000"/>
              </a:solidFill>
            </a:rPr>
            <a:t>HR WORKFORCE</a:t>
          </a:r>
          <a:r>
            <a:rPr lang="en-US" sz="3200" b="1" baseline="0">
              <a:solidFill>
                <a:srgbClr val="FF0000"/>
              </a:solidFill>
            </a:rPr>
            <a:t> ANALYTICS DASHBOARD</a:t>
          </a:r>
          <a:endParaRPr lang="en-US" sz="3200" b="1">
            <a:solidFill>
              <a:srgbClr val="FF0000"/>
            </a:solidFill>
          </a:endParaRPr>
        </a:p>
      </xdr:txBody>
    </xdr:sp>
    <xdr:clientData/>
  </xdr:twoCellAnchor>
  <xdr:twoCellAnchor>
    <xdr:from>
      <xdr:col>5</xdr:col>
      <xdr:colOff>346375</xdr:colOff>
      <xdr:row>3</xdr:row>
      <xdr:rowOff>132293</xdr:rowOff>
    </xdr:from>
    <xdr:to>
      <xdr:col>25</xdr:col>
      <xdr:colOff>256729</xdr:colOff>
      <xdr:row>6</xdr:row>
      <xdr:rowOff>97015</xdr:rowOff>
    </xdr:to>
    <xdr:sp macro="[0]!Refresh_Dashboard" textlink="">
      <xdr:nvSpPr>
        <xdr:cNvPr id="6" name="Rectangle 5">
          <a:extLst>
            <a:ext uri="{FF2B5EF4-FFF2-40B4-BE49-F238E27FC236}">
              <a16:creationId xmlns:a16="http://schemas.microsoft.com/office/drawing/2014/main" id="{ACD64A6E-0EE8-46F9-96EB-BEF4E4B5B81F}"/>
            </a:ext>
          </a:extLst>
        </xdr:cNvPr>
        <xdr:cNvSpPr/>
      </xdr:nvSpPr>
      <xdr:spPr>
        <a:xfrm>
          <a:off x="3401564" y="671444"/>
          <a:ext cx="12131108" cy="503873"/>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433299</xdr:colOff>
      <xdr:row>1</xdr:row>
      <xdr:rowOff>89650</xdr:rowOff>
    </xdr:from>
    <xdr:to>
      <xdr:col>5</xdr:col>
      <xdr:colOff>239059</xdr:colOff>
      <xdr:row>6</xdr:row>
      <xdr:rowOff>82177</xdr:rowOff>
    </xdr:to>
    <xdr:sp macro="" textlink="">
      <xdr:nvSpPr>
        <xdr:cNvPr id="7" name="Rectangle 6">
          <a:extLst>
            <a:ext uri="{FF2B5EF4-FFF2-40B4-BE49-F238E27FC236}">
              <a16:creationId xmlns:a16="http://schemas.microsoft.com/office/drawing/2014/main" id="{CC10F7F3-CD24-439E-AEA8-003F3C564DDC}"/>
            </a:ext>
          </a:extLst>
        </xdr:cNvPr>
        <xdr:cNvSpPr/>
      </xdr:nvSpPr>
      <xdr:spPr>
        <a:xfrm>
          <a:off x="1658475" y="276415"/>
          <a:ext cx="1643525" cy="926350"/>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428820</xdr:colOff>
      <xdr:row>6</xdr:row>
      <xdr:rowOff>144926</xdr:rowOff>
    </xdr:from>
    <xdr:to>
      <xdr:col>7</xdr:col>
      <xdr:colOff>112062</xdr:colOff>
      <xdr:row>10</xdr:row>
      <xdr:rowOff>97115</xdr:rowOff>
    </xdr:to>
    <xdr:sp macro="" textlink="">
      <xdr:nvSpPr>
        <xdr:cNvPr id="8" name="Rectangle 7">
          <a:extLst>
            <a:ext uri="{FF2B5EF4-FFF2-40B4-BE49-F238E27FC236}">
              <a16:creationId xmlns:a16="http://schemas.microsoft.com/office/drawing/2014/main" id="{DA404339-7774-4CA5-9442-A3D7E758ED4D}"/>
            </a:ext>
          </a:extLst>
        </xdr:cNvPr>
        <xdr:cNvSpPr/>
      </xdr:nvSpPr>
      <xdr:spPr>
        <a:xfrm>
          <a:off x="1653996" y="1265514"/>
          <a:ext cx="2746184" cy="699248"/>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a:t>
          </a:r>
          <a:r>
            <a:rPr lang="en-US" sz="1600" baseline="0"/>
            <a:t> </a:t>
          </a:r>
          <a:r>
            <a:rPr lang="en-US" sz="1600" b="1" baseline="0"/>
            <a:t>Employees</a:t>
          </a:r>
          <a:endParaRPr lang="en-US" sz="1100" b="1"/>
        </a:p>
      </xdr:txBody>
    </xdr:sp>
    <xdr:clientData/>
  </xdr:twoCellAnchor>
  <xdr:twoCellAnchor>
    <xdr:from>
      <xdr:col>7</xdr:col>
      <xdr:colOff>170334</xdr:colOff>
      <xdr:row>6</xdr:row>
      <xdr:rowOff>132977</xdr:rowOff>
    </xdr:from>
    <xdr:to>
      <xdr:col>11</xdr:col>
      <xdr:colOff>466165</xdr:colOff>
      <xdr:row>10</xdr:row>
      <xdr:rowOff>85166</xdr:rowOff>
    </xdr:to>
    <xdr:sp macro="" textlink="">
      <xdr:nvSpPr>
        <xdr:cNvPr id="13" name="Rectangle 12">
          <a:extLst>
            <a:ext uri="{FF2B5EF4-FFF2-40B4-BE49-F238E27FC236}">
              <a16:creationId xmlns:a16="http://schemas.microsoft.com/office/drawing/2014/main" id="{3D3C0606-CBC8-4F33-9893-77E75019C3D0}"/>
            </a:ext>
          </a:extLst>
        </xdr:cNvPr>
        <xdr:cNvSpPr/>
      </xdr:nvSpPr>
      <xdr:spPr>
        <a:xfrm>
          <a:off x="4458452" y="1253565"/>
          <a:ext cx="2746184" cy="699248"/>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Avg</a:t>
          </a:r>
          <a:r>
            <a:rPr lang="en-US" sz="1600" b="1" baseline="0"/>
            <a:t> Performance Rating</a:t>
          </a:r>
          <a:endParaRPr lang="en-US" sz="1600" b="1"/>
        </a:p>
      </xdr:txBody>
    </xdr:sp>
    <xdr:clientData/>
  </xdr:twoCellAnchor>
  <xdr:twoCellAnchor>
    <xdr:from>
      <xdr:col>11</xdr:col>
      <xdr:colOff>515468</xdr:colOff>
      <xdr:row>6</xdr:row>
      <xdr:rowOff>134471</xdr:rowOff>
    </xdr:from>
    <xdr:to>
      <xdr:col>16</xdr:col>
      <xdr:colOff>198711</xdr:colOff>
      <xdr:row>10</xdr:row>
      <xdr:rowOff>86660</xdr:rowOff>
    </xdr:to>
    <xdr:sp macro="" textlink="">
      <xdr:nvSpPr>
        <xdr:cNvPr id="14" name="Rectangle 13">
          <a:extLst>
            <a:ext uri="{FF2B5EF4-FFF2-40B4-BE49-F238E27FC236}">
              <a16:creationId xmlns:a16="http://schemas.microsoft.com/office/drawing/2014/main" id="{B82E4973-EA7A-4BD4-AD6C-9C66F3859AD9}"/>
            </a:ext>
          </a:extLst>
        </xdr:cNvPr>
        <xdr:cNvSpPr/>
      </xdr:nvSpPr>
      <xdr:spPr>
        <a:xfrm>
          <a:off x="7253939" y="1255059"/>
          <a:ext cx="2746184" cy="699248"/>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Part</a:t>
          </a:r>
          <a:r>
            <a:rPr lang="en-US" sz="1600" b="1" baseline="0">
              <a:solidFill>
                <a:schemeClr val="bg1"/>
              </a:solidFill>
            </a:rPr>
            <a:t> Time Employees</a:t>
          </a:r>
          <a:endParaRPr lang="en-US" sz="1600" b="1">
            <a:solidFill>
              <a:schemeClr val="bg1"/>
            </a:solidFill>
          </a:endParaRPr>
        </a:p>
      </xdr:txBody>
    </xdr:sp>
    <xdr:clientData/>
  </xdr:twoCellAnchor>
  <xdr:twoCellAnchor>
    <xdr:from>
      <xdr:col>16</xdr:col>
      <xdr:colOff>246533</xdr:colOff>
      <xdr:row>6</xdr:row>
      <xdr:rowOff>134473</xdr:rowOff>
    </xdr:from>
    <xdr:to>
      <xdr:col>20</xdr:col>
      <xdr:colOff>542364</xdr:colOff>
      <xdr:row>10</xdr:row>
      <xdr:rowOff>86662</xdr:rowOff>
    </xdr:to>
    <xdr:sp macro="" textlink="">
      <xdr:nvSpPr>
        <xdr:cNvPr id="15" name="Rectangle 14">
          <a:extLst>
            <a:ext uri="{FF2B5EF4-FFF2-40B4-BE49-F238E27FC236}">
              <a16:creationId xmlns:a16="http://schemas.microsoft.com/office/drawing/2014/main" id="{FCEBB941-ECE7-47CE-A934-B96929C72FB9}"/>
            </a:ext>
          </a:extLst>
        </xdr:cNvPr>
        <xdr:cNvSpPr/>
      </xdr:nvSpPr>
      <xdr:spPr>
        <a:xfrm>
          <a:off x="10047945" y="1255061"/>
          <a:ext cx="2746184" cy="699248"/>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Full Time Employees</a:t>
          </a:r>
        </a:p>
      </xdr:txBody>
    </xdr:sp>
    <xdr:clientData/>
  </xdr:twoCellAnchor>
  <xdr:twoCellAnchor>
    <xdr:from>
      <xdr:col>20</xdr:col>
      <xdr:colOff>605113</xdr:colOff>
      <xdr:row>6</xdr:row>
      <xdr:rowOff>127002</xdr:rowOff>
    </xdr:from>
    <xdr:to>
      <xdr:col>25</xdr:col>
      <xdr:colOff>213653</xdr:colOff>
      <xdr:row>10</xdr:row>
      <xdr:rowOff>79191</xdr:rowOff>
    </xdr:to>
    <xdr:sp macro="" textlink="">
      <xdr:nvSpPr>
        <xdr:cNvPr id="16" name="Rectangle 15">
          <a:extLst>
            <a:ext uri="{FF2B5EF4-FFF2-40B4-BE49-F238E27FC236}">
              <a16:creationId xmlns:a16="http://schemas.microsoft.com/office/drawing/2014/main" id="{E0A34817-26B8-4C5B-8800-DD87DC81A849}"/>
            </a:ext>
          </a:extLst>
        </xdr:cNvPr>
        <xdr:cNvSpPr/>
      </xdr:nvSpPr>
      <xdr:spPr>
        <a:xfrm>
          <a:off x="12856878" y="1247590"/>
          <a:ext cx="2671481" cy="699248"/>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Contract</a:t>
          </a:r>
          <a:r>
            <a:rPr lang="en-US" sz="1600" b="1" baseline="0"/>
            <a:t> Employees</a:t>
          </a:r>
          <a:endParaRPr lang="en-US" sz="1600" b="1"/>
        </a:p>
      </xdr:txBody>
    </xdr:sp>
    <xdr:clientData/>
  </xdr:twoCellAnchor>
  <xdr:twoCellAnchor>
    <xdr:from>
      <xdr:col>2</xdr:col>
      <xdr:colOff>431806</xdr:colOff>
      <xdr:row>10</xdr:row>
      <xdr:rowOff>155387</xdr:rowOff>
    </xdr:from>
    <xdr:to>
      <xdr:col>7</xdr:col>
      <xdr:colOff>104589</xdr:colOff>
      <xdr:row>21</xdr:row>
      <xdr:rowOff>171824</xdr:rowOff>
    </xdr:to>
    <xdr:sp macro="" textlink="">
      <xdr:nvSpPr>
        <xdr:cNvPr id="17" name="Rectangle 16">
          <a:extLst>
            <a:ext uri="{FF2B5EF4-FFF2-40B4-BE49-F238E27FC236}">
              <a16:creationId xmlns:a16="http://schemas.microsoft.com/office/drawing/2014/main" id="{BF08FD58-19A5-4693-B590-581168B3EF41}"/>
            </a:ext>
          </a:extLst>
        </xdr:cNvPr>
        <xdr:cNvSpPr/>
      </xdr:nvSpPr>
      <xdr:spPr>
        <a:xfrm>
          <a:off x="1656982" y="2023034"/>
          <a:ext cx="2735725" cy="2070849"/>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427321</xdr:colOff>
      <xdr:row>22</xdr:row>
      <xdr:rowOff>46314</xdr:rowOff>
    </xdr:from>
    <xdr:to>
      <xdr:col>7</xdr:col>
      <xdr:colOff>100104</xdr:colOff>
      <xdr:row>33</xdr:row>
      <xdr:rowOff>62752</xdr:rowOff>
    </xdr:to>
    <xdr:sp macro="" textlink="">
      <xdr:nvSpPr>
        <xdr:cNvPr id="21" name="Rectangle 20">
          <a:extLst>
            <a:ext uri="{FF2B5EF4-FFF2-40B4-BE49-F238E27FC236}">
              <a16:creationId xmlns:a16="http://schemas.microsoft.com/office/drawing/2014/main" id="{B22047D0-63BD-4297-B0E0-D7CFFFA39B9F}"/>
            </a:ext>
          </a:extLst>
        </xdr:cNvPr>
        <xdr:cNvSpPr/>
      </xdr:nvSpPr>
      <xdr:spPr>
        <a:xfrm>
          <a:off x="1652497" y="4155138"/>
          <a:ext cx="2735725" cy="2070849"/>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165850</xdr:colOff>
      <xdr:row>10</xdr:row>
      <xdr:rowOff>143431</xdr:rowOff>
    </xdr:from>
    <xdr:to>
      <xdr:col>14</xdr:col>
      <xdr:colOff>89647</xdr:colOff>
      <xdr:row>21</xdr:row>
      <xdr:rowOff>164353</xdr:rowOff>
    </xdr:to>
    <xdr:sp macro="" textlink="">
      <xdr:nvSpPr>
        <xdr:cNvPr id="22" name="Rectangle 21">
          <a:extLst>
            <a:ext uri="{FF2B5EF4-FFF2-40B4-BE49-F238E27FC236}">
              <a16:creationId xmlns:a16="http://schemas.microsoft.com/office/drawing/2014/main" id="{49465E1D-713E-43A7-9BC5-788813FEB517}"/>
            </a:ext>
          </a:extLst>
        </xdr:cNvPr>
        <xdr:cNvSpPr/>
      </xdr:nvSpPr>
      <xdr:spPr>
        <a:xfrm>
          <a:off x="4453968" y="2011078"/>
          <a:ext cx="4211914" cy="2075334"/>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161369</xdr:colOff>
      <xdr:row>22</xdr:row>
      <xdr:rowOff>49301</xdr:rowOff>
    </xdr:from>
    <xdr:to>
      <xdr:col>14</xdr:col>
      <xdr:colOff>85166</xdr:colOff>
      <xdr:row>33</xdr:row>
      <xdr:rowOff>70224</xdr:rowOff>
    </xdr:to>
    <xdr:sp macro="" textlink="">
      <xdr:nvSpPr>
        <xdr:cNvPr id="23" name="Rectangle 22">
          <a:extLst>
            <a:ext uri="{FF2B5EF4-FFF2-40B4-BE49-F238E27FC236}">
              <a16:creationId xmlns:a16="http://schemas.microsoft.com/office/drawing/2014/main" id="{EFFA93D7-2BE3-485F-97CA-5F94A3FA307F}"/>
            </a:ext>
          </a:extLst>
        </xdr:cNvPr>
        <xdr:cNvSpPr/>
      </xdr:nvSpPr>
      <xdr:spPr>
        <a:xfrm>
          <a:off x="4449487" y="4158125"/>
          <a:ext cx="4211914" cy="2075334"/>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156888</xdr:colOff>
      <xdr:row>10</xdr:row>
      <xdr:rowOff>149412</xdr:rowOff>
    </xdr:from>
    <xdr:to>
      <xdr:col>21</xdr:col>
      <xdr:colOff>80684</xdr:colOff>
      <xdr:row>21</xdr:row>
      <xdr:rowOff>170334</xdr:rowOff>
    </xdr:to>
    <xdr:sp macro="" textlink="">
      <xdr:nvSpPr>
        <xdr:cNvPr id="24" name="Rectangle 23">
          <a:extLst>
            <a:ext uri="{FF2B5EF4-FFF2-40B4-BE49-F238E27FC236}">
              <a16:creationId xmlns:a16="http://schemas.microsoft.com/office/drawing/2014/main" id="{0B316EAF-0DD2-4F3E-9517-96E648758EF9}"/>
            </a:ext>
          </a:extLst>
        </xdr:cNvPr>
        <xdr:cNvSpPr/>
      </xdr:nvSpPr>
      <xdr:spPr>
        <a:xfrm>
          <a:off x="8733123" y="2017059"/>
          <a:ext cx="4211914" cy="2075334"/>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149415</xdr:colOff>
      <xdr:row>22</xdr:row>
      <xdr:rowOff>44824</xdr:rowOff>
    </xdr:from>
    <xdr:to>
      <xdr:col>20</xdr:col>
      <xdr:colOff>201704</xdr:colOff>
      <xdr:row>33</xdr:row>
      <xdr:rowOff>59764</xdr:rowOff>
    </xdr:to>
    <xdr:sp macro="" textlink="">
      <xdr:nvSpPr>
        <xdr:cNvPr id="25" name="Rectangle 24">
          <a:extLst>
            <a:ext uri="{FF2B5EF4-FFF2-40B4-BE49-F238E27FC236}">
              <a16:creationId xmlns:a16="http://schemas.microsoft.com/office/drawing/2014/main" id="{F0F0027A-F020-4910-9EB7-D83EB53A8B6F}"/>
            </a:ext>
          </a:extLst>
        </xdr:cNvPr>
        <xdr:cNvSpPr/>
      </xdr:nvSpPr>
      <xdr:spPr>
        <a:xfrm>
          <a:off x="8725650" y="4153648"/>
          <a:ext cx="3727819" cy="2069351"/>
        </a:xfrm>
        <a:prstGeom prst="rect">
          <a:avLst/>
        </a:prstGeom>
        <a:solidFill>
          <a:schemeClr val="tx1">
            <a:lumMod val="85000"/>
            <a:lumOff val="1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159872</xdr:colOff>
      <xdr:row>10</xdr:row>
      <xdr:rowOff>159872</xdr:rowOff>
    </xdr:from>
    <xdr:to>
      <xdr:col>25</xdr:col>
      <xdr:colOff>231588</xdr:colOff>
      <xdr:row>21</xdr:row>
      <xdr:rowOff>171824</xdr:rowOff>
    </xdr:to>
    <xdr:sp macro="" textlink="">
      <xdr:nvSpPr>
        <xdr:cNvPr id="26" name="Rectangle 25">
          <a:extLst>
            <a:ext uri="{FF2B5EF4-FFF2-40B4-BE49-F238E27FC236}">
              <a16:creationId xmlns:a16="http://schemas.microsoft.com/office/drawing/2014/main" id="{0740DE3B-6087-4535-9690-BD668D0B81D3}"/>
            </a:ext>
          </a:extLst>
        </xdr:cNvPr>
        <xdr:cNvSpPr/>
      </xdr:nvSpPr>
      <xdr:spPr>
        <a:xfrm>
          <a:off x="13024225" y="2027519"/>
          <a:ext cx="2522069" cy="2066364"/>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271935</xdr:colOff>
      <xdr:row>22</xdr:row>
      <xdr:rowOff>40342</xdr:rowOff>
    </xdr:from>
    <xdr:to>
      <xdr:col>25</xdr:col>
      <xdr:colOff>216648</xdr:colOff>
      <xdr:row>33</xdr:row>
      <xdr:rowOff>44823</xdr:rowOff>
    </xdr:to>
    <xdr:sp macro="" textlink="">
      <xdr:nvSpPr>
        <xdr:cNvPr id="27" name="Rectangle 26">
          <a:extLst>
            <a:ext uri="{FF2B5EF4-FFF2-40B4-BE49-F238E27FC236}">
              <a16:creationId xmlns:a16="http://schemas.microsoft.com/office/drawing/2014/main" id="{B883F1DA-7529-4A44-A1C1-FBFE99353AC9}"/>
            </a:ext>
          </a:extLst>
        </xdr:cNvPr>
        <xdr:cNvSpPr/>
      </xdr:nvSpPr>
      <xdr:spPr>
        <a:xfrm>
          <a:off x="12523700" y="4149166"/>
          <a:ext cx="3007654" cy="2058892"/>
        </a:xfrm>
        <a:prstGeom prst="rect">
          <a:avLst/>
        </a:prstGeom>
        <a:solidFill>
          <a:schemeClr val="tx1">
            <a:lumMod val="85000"/>
            <a:lumOff val="1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231589</xdr:colOff>
      <xdr:row>8</xdr:row>
      <xdr:rowOff>97117</xdr:rowOff>
    </xdr:from>
    <xdr:ext cx="184731" cy="264560"/>
    <xdr:sp macro="" textlink="">
      <xdr:nvSpPr>
        <xdr:cNvPr id="33" name="TextBox 32">
          <a:extLst>
            <a:ext uri="{FF2B5EF4-FFF2-40B4-BE49-F238E27FC236}">
              <a16:creationId xmlns:a16="http://schemas.microsoft.com/office/drawing/2014/main" id="{4B272885-41B4-BB9C-B495-0243180AB1E3}"/>
            </a:ext>
          </a:extLst>
        </xdr:cNvPr>
        <xdr:cNvSpPr txBox="1"/>
      </xdr:nvSpPr>
      <xdr:spPr>
        <a:xfrm>
          <a:off x="8807824" y="15912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500537</xdr:colOff>
      <xdr:row>6</xdr:row>
      <xdr:rowOff>179301</xdr:rowOff>
    </xdr:from>
    <xdr:to>
      <xdr:col>6</xdr:col>
      <xdr:colOff>567774</xdr:colOff>
      <xdr:row>10</xdr:row>
      <xdr:rowOff>112067</xdr:rowOff>
    </xdr:to>
    <xdr:pic>
      <xdr:nvPicPr>
        <xdr:cNvPr id="35" name="Graphic 34" descr="Users with solid fill">
          <a:extLst>
            <a:ext uri="{FF2B5EF4-FFF2-40B4-BE49-F238E27FC236}">
              <a16:creationId xmlns:a16="http://schemas.microsoft.com/office/drawing/2014/main" id="{0E5E1F76-E612-EFCE-E53E-2B6B9B6D31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63478" y="1299889"/>
          <a:ext cx="679825" cy="679825"/>
        </a:xfrm>
        <a:prstGeom prst="rect">
          <a:avLst/>
        </a:prstGeom>
      </xdr:spPr>
    </xdr:pic>
    <xdr:clientData/>
  </xdr:twoCellAnchor>
  <xdr:twoCellAnchor>
    <xdr:from>
      <xdr:col>3</xdr:col>
      <xdr:colOff>192745</xdr:colOff>
      <xdr:row>7</xdr:row>
      <xdr:rowOff>95620</xdr:rowOff>
    </xdr:from>
    <xdr:to>
      <xdr:col>6</xdr:col>
      <xdr:colOff>134469</xdr:colOff>
      <xdr:row>10</xdr:row>
      <xdr:rowOff>126999</xdr:rowOff>
    </xdr:to>
    <xdr:sp macro="" textlink="Pivot!E13">
      <xdr:nvSpPr>
        <xdr:cNvPr id="49" name="Rectangle 48">
          <a:extLst>
            <a:ext uri="{FF2B5EF4-FFF2-40B4-BE49-F238E27FC236}">
              <a16:creationId xmlns:a16="http://schemas.microsoft.com/office/drawing/2014/main" id="{FF53AF4C-847D-4299-AE3B-F73238815D25}"/>
            </a:ext>
          </a:extLst>
        </xdr:cNvPr>
        <xdr:cNvSpPr/>
      </xdr:nvSpPr>
      <xdr:spPr>
        <a:xfrm>
          <a:off x="2030510" y="1402973"/>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13B2EC8-E1E9-4F94-B3A7-2CB667170FE1}" type="TxLink">
            <a:rPr lang="en-US" sz="3600" b="1" i="0" u="none" strike="noStrike">
              <a:solidFill>
                <a:srgbClr val="FF0000"/>
              </a:solidFill>
              <a:latin typeface="Aptos Narrow"/>
            </a:rPr>
            <a:pPr algn="l"/>
            <a:t>99</a:t>
          </a:fld>
          <a:endParaRPr lang="en-US" sz="3600" b="1">
            <a:solidFill>
              <a:srgbClr val="FF0000"/>
            </a:solidFill>
          </a:endParaRPr>
        </a:p>
      </xdr:txBody>
    </xdr:sp>
    <xdr:clientData/>
  </xdr:twoCellAnchor>
  <xdr:twoCellAnchor>
    <xdr:from>
      <xdr:col>7</xdr:col>
      <xdr:colOff>487086</xdr:colOff>
      <xdr:row>7</xdr:row>
      <xdr:rowOff>91138</xdr:rowOff>
    </xdr:from>
    <xdr:to>
      <xdr:col>10</xdr:col>
      <xdr:colOff>428810</xdr:colOff>
      <xdr:row>10</xdr:row>
      <xdr:rowOff>122517</xdr:rowOff>
    </xdr:to>
    <xdr:sp macro="" textlink="Pivot!E14">
      <xdr:nvSpPr>
        <xdr:cNvPr id="51" name="Rectangle 50">
          <a:extLst>
            <a:ext uri="{FF2B5EF4-FFF2-40B4-BE49-F238E27FC236}">
              <a16:creationId xmlns:a16="http://schemas.microsoft.com/office/drawing/2014/main" id="{EA5ECC53-D009-4899-B6ED-0069D6968127}"/>
            </a:ext>
          </a:extLst>
        </xdr:cNvPr>
        <xdr:cNvSpPr/>
      </xdr:nvSpPr>
      <xdr:spPr>
        <a:xfrm>
          <a:off x="4775204" y="1398491"/>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43DCA20-D642-4721-8F21-1DEA9BFD43D5}" type="TxLink">
            <a:rPr lang="en-US" sz="3600" b="1" i="0" u="none" strike="noStrike">
              <a:solidFill>
                <a:schemeClr val="bg1">
                  <a:lumMod val="95000"/>
                </a:schemeClr>
              </a:solidFill>
              <a:latin typeface="Aptos Narrow"/>
            </a:rPr>
            <a:pPr algn="l"/>
            <a:t>2.9</a:t>
          </a:fld>
          <a:endParaRPr lang="en-US" sz="8800" b="1" i="0" u="none" strike="noStrike">
            <a:solidFill>
              <a:schemeClr val="bg1">
                <a:lumMod val="95000"/>
              </a:schemeClr>
            </a:solidFill>
            <a:latin typeface="Aptos Narrow"/>
          </a:endParaRPr>
        </a:p>
      </xdr:txBody>
    </xdr:sp>
    <xdr:clientData/>
  </xdr:twoCellAnchor>
  <xdr:twoCellAnchor editAs="oneCell">
    <xdr:from>
      <xdr:col>10</xdr:col>
      <xdr:colOff>418352</xdr:colOff>
      <xdr:row>7</xdr:row>
      <xdr:rowOff>67235</xdr:rowOff>
    </xdr:from>
    <xdr:to>
      <xdr:col>11</xdr:col>
      <xdr:colOff>403410</xdr:colOff>
      <xdr:row>10</xdr:row>
      <xdr:rowOff>104588</xdr:rowOff>
    </xdr:to>
    <xdr:pic>
      <xdr:nvPicPr>
        <xdr:cNvPr id="53" name="Graphic 52" descr="Bar graph with upward trend with solid fill">
          <a:extLst>
            <a:ext uri="{FF2B5EF4-FFF2-40B4-BE49-F238E27FC236}">
              <a16:creationId xmlns:a16="http://schemas.microsoft.com/office/drawing/2014/main" id="{542F1516-C0C1-EAD5-B74C-7B8F84338F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44234" y="1374588"/>
          <a:ext cx="597647" cy="597647"/>
        </a:xfrm>
        <a:prstGeom prst="rect">
          <a:avLst/>
        </a:prstGeom>
      </xdr:spPr>
    </xdr:pic>
    <xdr:clientData/>
  </xdr:twoCellAnchor>
  <xdr:twoCellAnchor editAs="oneCell">
    <xdr:from>
      <xdr:col>15</xdr:col>
      <xdr:colOff>82176</xdr:colOff>
      <xdr:row>6</xdr:row>
      <xdr:rowOff>156882</xdr:rowOff>
    </xdr:from>
    <xdr:to>
      <xdr:col>16</xdr:col>
      <xdr:colOff>164353</xdr:colOff>
      <xdr:row>10</xdr:row>
      <xdr:rowOff>104588</xdr:rowOff>
    </xdr:to>
    <xdr:pic>
      <xdr:nvPicPr>
        <xdr:cNvPr id="55" name="Graphic 54" descr="Pie chart with solid fill">
          <a:extLst>
            <a:ext uri="{FF2B5EF4-FFF2-40B4-BE49-F238E27FC236}">
              <a16:creationId xmlns:a16="http://schemas.microsoft.com/office/drawing/2014/main" id="{35BADF81-1CC6-5BAF-1461-D7B54CF5C7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71000" y="1277470"/>
          <a:ext cx="694765" cy="694765"/>
        </a:xfrm>
        <a:prstGeom prst="rect">
          <a:avLst/>
        </a:prstGeom>
      </xdr:spPr>
    </xdr:pic>
    <xdr:clientData/>
  </xdr:twoCellAnchor>
  <xdr:twoCellAnchor>
    <xdr:from>
      <xdr:col>12</xdr:col>
      <xdr:colOff>348133</xdr:colOff>
      <xdr:row>7</xdr:row>
      <xdr:rowOff>86655</xdr:rowOff>
    </xdr:from>
    <xdr:to>
      <xdr:col>15</xdr:col>
      <xdr:colOff>289856</xdr:colOff>
      <xdr:row>10</xdr:row>
      <xdr:rowOff>118034</xdr:rowOff>
    </xdr:to>
    <xdr:sp macro="" textlink="Pivot!E15">
      <xdr:nvSpPr>
        <xdr:cNvPr id="56" name="Rectangle 55">
          <a:extLst>
            <a:ext uri="{FF2B5EF4-FFF2-40B4-BE49-F238E27FC236}">
              <a16:creationId xmlns:a16="http://schemas.microsoft.com/office/drawing/2014/main" id="{E1F3D40C-109B-4D6C-85AE-60226CD352DD}"/>
            </a:ext>
          </a:extLst>
        </xdr:cNvPr>
        <xdr:cNvSpPr/>
      </xdr:nvSpPr>
      <xdr:spPr>
        <a:xfrm>
          <a:off x="7699192" y="1394008"/>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35BE2B-0F58-4A0D-8592-4BCF19D9B180}" type="TxLink">
            <a:rPr lang="en-US" sz="3600" b="1" i="0" u="none" strike="noStrike">
              <a:solidFill>
                <a:schemeClr val="bg1">
                  <a:lumMod val="95000"/>
                </a:schemeClr>
              </a:solidFill>
              <a:latin typeface="Aptos Narrow"/>
            </a:rPr>
            <a:pPr algn="l"/>
            <a:t>28</a:t>
          </a:fld>
          <a:endParaRPr lang="en-US" sz="41300" b="1" i="0" u="none" strike="noStrike">
            <a:solidFill>
              <a:schemeClr val="bg1">
                <a:lumMod val="95000"/>
              </a:schemeClr>
            </a:solidFill>
            <a:latin typeface="Aptos Narrow"/>
          </a:endParaRPr>
        </a:p>
      </xdr:txBody>
    </xdr:sp>
    <xdr:clientData/>
  </xdr:twoCellAnchor>
  <xdr:twoCellAnchor editAs="oneCell">
    <xdr:from>
      <xdr:col>19</xdr:col>
      <xdr:colOff>373531</xdr:colOff>
      <xdr:row>6</xdr:row>
      <xdr:rowOff>74705</xdr:rowOff>
    </xdr:from>
    <xdr:to>
      <xdr:col>20</xdr:col>
      <xdr:colOff>582709</xdr:colOff>
      <xdr:row>10</xdr:row>
      <xdr:rowOff>149413</xdr:rowOff>
    </xdr:to>
    <xdr:pic>
      <xdr:nvPicPr>
        <xdr:cNvPr id="58" name="Graphic 57" descr="User with solid fill">
          <a:extLst>
            <a:ext uri="{FF2B5EF4-FFF2-40B4-BE49-F238E27FC236}">
              <a16:creationId xmlns:a16="http://schemas.microsoft.com/office/drawing/2014/main" id="{76B063CD-CD51-2AEE-E5A6-0735E859B1F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12707" y="1195293"/>
          <a:ext cx="821767" cy="821767"/>
        </a:xfrm>
        <a:prstGeom prst="rect">
          <a:avLst/>
        </a:prstGeom>
      </xdr:spPr>
    </xdr:pic>
    <xdr:clientData/>
  </xdr:twoCellAnchor>
  <xdr:twoCellAnchor>
    <xdr:from>
      <xdr:col>16</xdr:col>
      <xdr:colOff>605121</xdr:colOff>
      <xdr:row>7</xdr:row>
      <xdr:rowOff>97120</xdr:rowOff>
    </xdr:from>
    <xdr:to>
      <xdr:col>19</xdr:col>
      <xdr:colOff>546845</xdr:colOff>
      <xdr:row>10</xdr:row>
      <xdr:rowOff>128499</xdr:rowOff>
    </xdr:to>
    <xdr:sp macro="" textlink="Pivot!E16">
      <xdr:nvSpPr>
        <xdr:cNvPr id="59" name="Rectangle 58">
          <a:extLst>
            <a:ext uri="{FF2B5EF4-FFF2-40B4-BE49-F238E27FC236}">
              <a16:creationId xmlns:a16="http://schemas.microsoft.com/office/drawing/2014/main" id="{D8B29156-C1DA-480A-BECB-D994D6AD322C}"/>
            </a:ext>
          </a:extLst>
        </xdr:cNvPr>
        <xdr:cNvSpPr/>
      </xdr:nvSpPr>
      <xdr:spPr>
        <a:xfrm>
          <a:off x="10406533" y="1404473"/>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10194BF-31E9-429D-9C1A-1F76774C1974}" type="TxLink">
            <a:rPr lang="en-US" sz="3600" b="1" i="0" u="none" strike="noStrike">
              <a:solidFill>
                <a:schemeClr val="bg1">
                  <a:lumMod val="95000"/>
                </a:schemeClr>
              </a:solidFill>
              <a:latin typeface="Aptos Narrow"/>
            </a:rPr>
            <a:pPr algn="l"/>
            <a:t>40</a:t>
          </a:fld>
          <a:endParaRPr lang="en-US" sz="41300" b="1" i="0" u="none" strike="noStrike">
            <a:solidFill>
              <a:schemeClr val="bg1">
                <a:lumMod val="95000"/>
              </a:schemeClr>
            </a:solidFill>
            <a:latin typeface="Aptos Narrow"/>
          </a:endParaRPr>
        </a:p>
      </xdr:txBody>
    </xdr:sp>
    <xdr:clientData/>
  </xdr:twoCellAnchor>
  <xdr:twoCellAnchor editAs="oneCell">
    <xdr:from>
      <xdr:col>24</xdr:col>
      <xdr:colOff>67239</xdr:colOff>
      <xdr:row>6</xdr:row>
      <xdr:rowOff>104585</xdr:rowOff>
    </xdr:from>
    <xdr:to>
      <xdr:col>25</xdr:col>
      <xdr:colOff>209180</xdr:colOff>
      <xdr:row>10</xdr:row>
      <xdr:rowOff>112055</xdr:rowOff>
    </xdr:to>
    <xdr:pic>
      <xdr:nvPicPr>
        <xdr:cNvPr id="61" name="Graphic 60" descr="Checklist with solid fill">
          <a:extLst>
            <a:ext uri="{FF2B5EF4-FFF2-40B4-BE49-F238E27FC236}">
              <a16:creationId xmlns:a16="http://schemas.microsoft.com/office/drawing/2014/main" id="{09C45013-7D95-994B-2745-37CEA948ADB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769357" y="1225173"/>
          <a:ext cx="754529" cy="754529"/>
        </a:xfrm>
        <a:prstGeom prst="rect">
          <a:avLst/>
        </a:prstGeom>
      </xdr:spPr>
    </xdr:pic>
    <xdr:clientData/>
  </xdr:twoCellAnchor>
  <xdr:twoCellAnchor>
    <xdr:from>
      <xdr:col>21</xdr:col>
      <xdr:colOff>351121</xdr:colOff>
      <xdr:row>7</xdr:row>
      <xdr:rowOff>97114</xdr:rowOff>
    </xdr:from>
    <xdr:to>
      <xdr:col>24</xdr:col>
      <xdr:colOff>292844</xdr:colOff>
      <xdr:row>10</xdr:row>
      <xdr:rowOff>128493</xdr:rowOff>
    </xdr:to>
    <xdr:sp macro="" textlink="Pivot!E17">
      <xdr:nvSpPr>
        <xdr:cNvPr id="62" name="Rectangle 61">
          <a:extLst>
            <a:ext uri="{FF2B5EF4-FFF2-40B4-BE49-F238E27FC236}">
              <a16:creationId xmlns:a16="http://schemas.microsoft.com/office/drawing/2014/main" id="{07BE5059-F17F-45B9-BAC6-8EC09DC0331D}"/>
            </a:ext>
          </a:extLst>
        </xdr:cNvPr>
        <xdr:cNvSpPr/>
      </xdr:nvSpPr>
      <xdr:spPr>
        <a:xfrm>
          <a:off x="13215474" y="1404467"/>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6EB20D9-F92C-49A1-A059-1DE3FEF12876}" type="TxLink">
            <a:rPr lang="en-US" sz="3600" b="1" i="0" u="none" strike="noStrike">
              <a:solidFill>
                <a:schemeClr val="bg1">
                  <a:lumMod val="95000"/>
                </a:schemeClr>
              </a:solidFill>
              <a:latin typeface="Aptos Narrow"/>
            </a:rPr>
            <a:pPr algn="l"/>
            <a:t>31</a:t>
          </a:fld>
          <a:endParaRPr lang="en-US" sz="41300" b="1" i="0" u="none" strike="noStrike">
            <a:solidFill>
              <a:schemeClr val="bg1">
                <a:lumMod val="95000"/>
              </a:schemeClr>
            </a:solidFill>
            <a:latin typeface="Aptos Narrow"/>
          </a:endParaRPr>
        </a:p>
      </xdr:txBody>
    </xdr:sp>
    <xdr:clientData/>
  </xdr:twoCellAnchor>
  <xdr:twoCellAnchor editAs="oneCell">
    <xdr:from>
      <xdr:col>2</xdr:col>
      <xdr:colOff>478118</xdr:colOff>
      <xdr:row>10</xdr:row>
      <xdr:rowOff>141942</xdr:rowOff>
    </xdr:from>
    <xdr:to>
      <xdr:col>3</xdr:col>
      <xdr:colOff>575235</xdr:colOff>
      <xdr:row>12</xdr:row>
      <xdr:rowOff>164353</xdr:rowOff>
    </xdr:to>
    <xdr:pic>
      <xdr:nvPicPr>
        <xdr:cNvPr id="64" name="Graphic 63" descr="Children with solid fill">
          <a:extLst>
            <a:ext uri="{FF2B5EF4-FFF2-40B4-BE49-F238E27FC236}">
              <a16:creationId xmlns:a16="http://schemas.microsoft.com/office/drawing/2014/main" id="{CF16CE54-1409-0614-8830-23C4460E06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03294" y="2009589"/>
          <a:ext cx="709706" cy="395940"/>
        </a:xfrm>
        <a:prstGeom prst="rect">
          <a:avLst/>
        </a:prstGeom>
      </xdr:spPr>
    </xdr:pic>
    <xdr:clientData/>
  </xdr:twoCellAnchor>
  <xdr:twoCellAnchor>
    <xdr:from>
      <xdr:col>4</xdr:col>
      <xdr:colOff>28399</xdr:colOff>
      <xdr:row>10</xdr:row>
      <xdr:rowOff>177795</xdr:rowOff>
    </xdr:from>
    <xdr:to>
      <xdr:col>8</xdr:col>
      <xdr:colOff>324230</xdr:colOff>
      <xdr:row>12</xdr:row>
      <xdr:rowOff>126999</xdr:rowOff>
    </xdr:to>
    <xdr:sp macro="" textlink="">
      <xdr:nvSpPr>
        <xdr:cNvPr id="67" name="Rectangle 66">
          <a:extLst>
            <a:ext uri="{FF2B5EF4-FFF2-40B4-BE49-F238E27FC236}">
              <a16:creationId xmlns:a16="http://schemas.microsoft.com/office/drawing/2014/main" id="{2BD4C4E7-6B96-4E34-9E6D-9F734E69F3FF}"/>
            </a:ext>
          </a:extLst>
        </xdr:cNvPr>
        <xdr:cNvSpPr/>
      </xdr:nvSpPr>
      <xdr:spPr>
        <a:xfrm>
          <a:off x="2478752" y="2045442"/>
          <a:ext cx="2746184"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Skills</a:t>
          </a:r>
          <a:r>
            <a:rPr lang="en-US" sz="1600" b="1" baseline="0">
              <a:solidFill>
                <a:srgbClr val="FF0000"/>
              </a:solidFill>
            </a:rPr>
            <a:t> Breakdown</a:t>
          </a:r>
          <a:endParaRPr lang="en-US" sz="1100" b="1">
            <a:solidFill>
              <a:srgbClr val="FF0000"/>
            </a:solidFill>
          </a:endParaRPr>
        </a:p>
      </xdr:txBody>
    </xdr:sp>
    <xdr:clientData/>
  </xdr:twoCellAnchor>
  <xdr:twoCellAnchor>
    <xdr:from>
      <xdr:col>2</xdr:col>
      <xdr:colOff>379509</xdr:colOff>
      <xdr:row>11</xdr:row>
      <xdr:rowOff>177810</xdr:rowOff>
    </xdr:from>
    <xdr:to>
      <xdr:col>7</xdr:col>
      <xdr:colOff>74706</xdr:colOff>
      <xdr:row>21</xdr:row>
      <xdr:rowOff>179294</xdr:rowOff>
    </xdr:to>
    <xdr:graphicFrame macro="">
      <xdr:nvGraphicFramePr>
        <xdr:cNvPr id="68" name="Chart 67">
          <a:extLst>
            <a:ext uri="{FF2B5EF4-FFF2-40B4-BE49-F238E27FC236}">
              <a16:creationId xmlns:a16="http://schemas.microsoft.com/office/drawing/2014/main" id="{9A7066E2-BFEA-418D-8751-89FD51EC5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315269</xdr:colOff>
      <xdr:row>10</xdr:row>
      <xdr:rowOff>165842</xdr:rowOff>
    </xdr:from>
    <xdr:to>
      <xdr:col>11</xdr:col>
      <xdr:colOff>89647</xdr:colOff>
      <xdr:row>12</xdr:row>
      <xdr:rowOff>115046</xdr:rowOff>
    </xdr:to>
    <xdr:sp macro="" textlink="">
      <xdr:nvSpPr>
        <xdr:cNvPr id="70" name="Rectangle 69">
          <a:extLst>
            <a:ext uri="{FF2B5EF4-FFF2-40B4-BE49-F238E27FC236}">
              <a16:creationId xmlns:a16="http://schemas.microsoft.com/office/drawing/2014/main" id="{FDAF967F-538A-4A65-902F-390FB0EDC6DB}"/>
            </a:ext>
          </a:extLst>
        </xdr:cNvPr>
        <xdr:cNvSpPr/>
      </xdr:nvSpPr>
      <xdr:spPr>
        <a:xfrm>
          <a:off x="4603387" y="2033489"/>
          <a:ext cx="2224731"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Gender</a:t>
          </a:r>
          <a:r>
            <a:rPr lang="en-US" sz="1600" b="1" baseline="0">
              <a:solidFill>
                <a:srgbClr val="FF0000"/>
              </a:solidFill>
            </a:rPr>
            <a:t> Ratio</a:t>
          </a:r>
          <a:endParaRPr lang="en-US" sz="1100" b="1">
            <a:solidFill>
              <a:srgbClr val="FF0000"/>
            </a:solidFill>
          </a:endParaRPr>
        </a:p>
      </xdr:txBody>
    </xdr:sp>
    <xdr:clientData/>
  </xdr:twoCellAnchor>
  <xdr:twoCellAnchor>
    <xdr:from>
      <xdr:col>7</xdr:col>
      <xdr:colOff>549845</xdr:colOff>
      <xdr:row>12</xdr:row>
      <xdr:rowOff>64242</xdr:rowOff>
    </xdr:from>
    <xdr:to>
      <xdr:col>9</xdr:col>
      <xdr:colOff>395941</xdr:colOff>
      <xdr:row>14</xdr:row>
      <xdr:rowOff>13445</xdr:rowOff>
    </xdr:to>
    <xdr:sp macro="" textlink="">
      <xdr:nvSpPr>
        <xdr:cNvPr id="71" name="Rectangle 70">
          <a:extLst>
            <a:ext uri="{FF2B5EF4-FFF2-40B4-BE49-F238E27FC236}">
              <a16:creationId xmlns:a16="http://schemas.microsoft.com/office/drawing/2014/main" id="{8BC904B6-B382-4A9F-96A0-76A1AC8230E6}"/>
            </a:ext>
          </a:extLst>
        </xdr:cNvPr>
        <xdr:cNvSpPr/>
      </xdr:nvSpPr>
      <xdr:spPr>
        <a:xfrm>
          <a:off x="4837963" y="2305418"/>
          <a:ext cx="1071272"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Female</a:t>
          </a:r>
          <a:endParaRPr lang="en-US" sz="1100" b="1">
            <a:solidFill>
              <a:srgbClr val="FF0000"/>
            </a:solidFill>
          </a:endParaRPr>
        </a:p>
      </xdr:txBody>
    </xdr:sp>
    <xdr:clientData/>
  </xdr:twoCellAnchor>
  <xdr:twoCellAnchor>
    <xdr:from>
      <xdr:col>11</xdr:col>
      <xdr:colOff>448245</xdr:colOff>
      <xdr:row>12</xdr:row>
      <xdr:rowOff>82172</xdr:rowOff>
    </xdr:from>
    <xdr:to>
      <xdr:col>13</xdr:col>
      <xdr:colOff>294341</xdr:colOff>
      <xdr:row>14</xdr:row>
      <xdr:rowOff>31375</xdr:rowOff>
    </xdr:to>
    <xdr:sp macro="" textlink="">
      <xdr:nvSpPr>
        <xdr:cNvPr id="72" name="Rectangle 71">
          <a:extLst>
            <a:ext uri="{FF2B5EF4-FFF2-40B4-BE49-F238E27FC236}">
              <a16:creationId xmlns:a16="http://schemas.microsoft.com/office/drawing/2014/main" id="{E8ECFFBE-013C-40B2-9C6D-557BFE077FD9}"/>
            </a:ext>
          </a:extLst>
        </xdr:cNvPr>
        <xdr:cNvSpPr/>
      </xdr:nvSpPr>
      <xdr:spPr>
        <a:xfrm>
          <a:off x="7186716" y="2323348"/>
          <a:ext cx="1071272"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Male</a:t>
          </a:r>
          <a:endParaRPr lang="en-US" sz="1100" b="1">
            <a:solidFill>
              <a:srgbClr val="FF0000"/>
            </a:solidFill>
          </a:endParaRPr>
        </a:p>
      </xdr:txBody>
    </xdr:sp>
    <xdr:clientData/>
  </xdr:twoCellAnchor>
  <xdr:twoCellAnchor>
    <xdr:from>
      <xdr:col>7</xdr:col>
      <xdr:colOff>216644</xdr:colOff>
      <xdr:row>11</xdr:row>
      <xdr:rowOff>67226</xdr:rowOff>
    </xdr:from>
    <xdr:to>
      <xdr:col>7</xdr:col>
      <xdr:colOff>358589</xdr:colOff>
      <xdr:row>12</xdr:row>
      <xdr:rowOff>22412</xdr:rowOff>
    </xdr:to>
    <xdr:sp macro="" textlink="">
      <xdr:nvSpPr>
        <xdr:cNvPr id="73" name="Oval 72">
          <a:extLst>
            <a:ext uri="{FF2B5EF4-FFF2-40B4-BE49-F238E27FC236}">
              <a16:creationId xmlns:a16="http://schemas.microsoft.com/office/drawing/2014/main" id="{7524442B-E689-51DA-1893-3D6D183B8C10}"/>
            </a:ext>
          </a:extLst>
        </xdr:cNvPr>
        <xdr:cNvSpPr/>
      </xdr:nvSpPr>
      <xdr:spPr>
        <a:xfrm>
          <a:off x="4504762" y="2121638"/>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7</xdr:col>
      <xdr:colOff>488575</xdr:colOff>
      <xdr:row>12</xdr:row>
      <xdr:rowOff>174805</xdr:rowOff>
    </xdr:from>
    <xdr:to>
      <xdr:col>7</xdr:col>
      <xdr:colOff>597649</xdr:colOff>
      <xdr:row>13</xdr:row>
      <xdr:rowOff>104590</xdr:rowOff>
    </xdr:to>
    <xdr:sp macro="" textlink="">
      <xdr:nvSpPr>
        <xdr:cNvPr id="74" name="Oval 73">
          <a:extLst>
            <a:ext uri="{FF2B5EF4-FFF2-40B4-BE49-F238E27FC236}">
              <a16:creationId xmlns:a16="http://schemas.microsoft.com/office/drawing/2014/main" id="{7092408A-57CB-492A-91CD-2F2701976881}"/>
            </a:ext>
          </a:extLst>
        </xdr:cNvPr>
        <xdr:cNvSpPr/>
      </xdr:nvSpPr>
      <xdr:spPr>
        <a:xfrm>
          <a:off x="4776693" y="2415981"/>
          <a:ext cx="109074" cy="116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11</xdr:col>
      <xdr:colOff>394446</xdr:colOff>
      <xdr:row>12</xdr:row>
      <xdr:rowOff>177794</xdr:rowOff>
    </xdr:from>
    <xdr:to>
      <xdr:col>11</xdr:col>
      <xdr:colOff>503520</xdr:colOff>
      <xdr:row>13</xdr:row>
      <xdr:rowOff>107579</xdr:rowOff>
    </xdr:to>
    <xdr:sp macro="" textlink="">
      <xdr:nvSpPr>
        <xdr:cNvPr id="75" name="Oval 74">
          <a:extLst>
            <a:ext uri="{FF2B5EF4-FFF2-40B4-BE49-F238E27FC236}">
              <a16:creationId xmlns:a16="http://schemas.microsoft.com/office/drawing/2014/main" id="{DF808F01-262C-4D8C-BBA5-94BDE9AD7416}"/>
            </a:ext>
          </a:extLst>
        </xdr:cNvPr>
        <xdr:cNvSpPr/>
      </xdr:nvSpPr>
      <xdr:spPr>
        <a:xfrm>
          <a:off x="7132917" y="2418970"/>
          <a:ext cx="109074" cy="116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7</xdr:col>
      <xdr:colOff>23912</xdr:colOff>
      <xdr:row>13</xdr:row>
      <xdr:rowOff>127005</xdr:rowOff>
    </xdr:from>
    <xdr:to>
      <xdr:col>10</xdr:col>
      <xdr:colOff>22417</xdr:colOff>
      <xdr:row>22</xdr:row>
      <xdr:rowOff>44828</xdr:rowOff>
    </xdr:to>
    <xdr:graphicFrame macro="">
      <xdr:nvGraphicFramePr>
        <xdr:cNvPr id="76" name="Chart 75">
          <a:extLst>
            <a:ext uri="{FF2B5EF4-FFF2-40B4-BE49-F238E27FC236}">
              <a16:creationId xmlns:a16="http://schemas.microsoft.com/office/drawing/2014/main" id="{95301F43-8523-4296-BF8F-D995ED88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7</xdr:col>
      <xdr:colOff>597653</xdr:colOff>
      <xdr:row>15</xdr:row>
      <xdr:rowOff>112060</xdr:rowOff>
    </xdr:from>
    <xdr:to>
      <xdr:col>9</xdr:col>
      <xdr:colOff>44827</xdr:colOff>
      <xdr:row>19</xdr:row>
      <xdr:rowOff>37352</xdr:rowOff>
    </xdr:to>
    <xdr:pic>
      <xdr:nvPicPr>
        <xdr:cNvPr id="82" name="Graphic 81" descr="Female Profile with solid fill">
          <a:extLst>
            <a:ext uri="{FF2B5EF4-FFF2-40B4-BE49-F238E27FC236}">
              <a16:creationId xmlns:a16="http://schemas.microsoft.com/office/drawing/2014/main" id="{AC4F8B99-23DB-CFB6-9751-4B3F9D648A1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885771" y="2913531"/>
          <a:ext cx="672350" cy="672350"/>
        </a:xfrm>
        <a:prstGeom prst="rect">
          <a:avLst/>
        </a:prstGeom>
      </xdr:spPr>
    </xdr:pic>
    <xdr:clientData/>
  </xdr:twoCellAnchor>
  <xdr:twoCellAnchor>
    <xdr:from>
      <xdr:col>7</xdr:col>
      <xdr:colOff>404910</xdr:colOff>
      <xdr:row>18</xdr:row>
      <xdr:rowOff>16435</xdr:rowOff>
    </xdr:from>
    <xdr:to>
      <xdr:col>12</xdr:col>
      <xdr:colOff>88153</xdr:colOff>
      <xdr:row>21</xdr:row>
      <xdr:rowOff>155389</xdr:rowOff>
    </xdr:to>
    <xdr:sp macro="" textlink="">
      <xdr:nvSpPr>
        <xdr:cNvPr id="83" name="Rectangle 82">
          <a:extLst>
            <a:ext uri="{FF2B5EF4-FFF2-40B4-BE49-F238E27FC236}">
              <a16:creationId xmlns:a16="http://schemas.microsoft.com/office/drawing/2014/main" id="{521651F4-494F-42AF-B700-3C8BF8656B75}"/>
            </a:ext>
          </a:extLst>
        </xdr:cNvPr>
        <xdr:cNvSpPr/>
      </xdr:nvSpPr>
      <xdr:spPr>
        <a:xfrm>
          <a:off x="4693028" y="3378200"/>
          <a:ext cx="2746184" cy="6992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p>
      </xdr:txBody>
    </xdr:sp>
    <xdr:clientData/>
  </xdr:twoCellAnchor>
  <xdr:twoCellAnchor>
    <xdr:from>
      <xdr:col>8</xdr:col>
      <xdr:colOff>68734</xdr:colOff>
      <xdr:row>18</xdr:row>
      <xdr:rowOff>119525</xdr:rowOff>
    </xdr:from>
    <xdr:to>
      <xdr:col>9</xdr:col>
      <xdr:colOff>254000</xdr:colOff>
      <xdr:row>21</xdr:row>
      <xdr:rowOff>140444</xdr:rowOff>
    </xdr:to>
    <xdr:sp macro="" textlink="Pivot!$Q$16">
      <xdr:nvSpPr>
        <xdr:cNvPr id="84" name="Rectangle 83">
          <a:extLst>
            <a:ext uri="{FF2B5EF4-FFF2-40B4-BE49-F238E27FC236}">
              <a16:creationId xmlns:a16="http://schemas.microsoft.com/office/drawing/2014/main" id="{B98093D4-93D8-455D-8165-65FDC560602E}"/>
            </a:ext>
          </a:extLst>
        </xdr:cNvPr>
        <xdr:cNvSpPr/>
      </xdr:nvSpPr>
      <xdr:spPr>
        <a:xfrm>
          <a:off x="4969440" y="3481290"/>
          <a:ext cx="797854" cy="5812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4E52ABC-C00D-4EC5-B787-C2EF74823ABF}" type="TxLink">
            <a:rPr lang="en-US" sz="1400" b="1" i="0" u="none" strike="noStrike">
              <a:solidFill>
                <a:schemeClr val="bg1"/>
              </a:solidFill>
              <a:latin typeface="Aptos Narrow"/>
            </a:rPr>
            <a:pPr algn="l"/>
            <a:t>48%</a:t>
          </a:fld>
          <a:endParaRPr lang="en-US" sz="2000" b="1">
            <a:solidFill>
              <a:schemeClr val="bg1"/>
            </a:solidFill>
          </a:endParaRPr>
        </a:p>
      </xdr:txBody>
    </xdr:sp>
    <xdr:clientData/>
  </xdr:twoCellAnchor>
  <xdr:twoCellAnchor>
    <xdr:from>
      <xdr:col>9</xdr:col>
      <xdr:colOff>442263</xdr:colOff>
      <xdr:row>13</xdr:row>
      <xdr:rowOff>22411</xdr:rowOff>
    </xdr:from>
    <xdr:to>
      <xdr:col>14</xdr:col>
      <xdr:colOff>186767</xdr:colOff>
      <xdr:row>22</xdr:row>
      <xdr:rowOff>14939</xdr:rowOff>
    </xdr:to>
    <xdr:graphicFrame macro="">
      <xdr:nvGraphicFramePr>
        <xdr:cNvPr id="85" name="Chart 84">
          <a:extLst>
            <a:ext uri="{FF2B5EF4-FFF2-40B4-BE49-F238E27FC236}">
              <a16:creationId xmlns:a16="http://schemas.microsoft.com/office/drawing/2014/main" id="{20318BE4-0DE3-4764-8F16-2BDF55F43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11</xdr:col>
      <xdr:colOff>328703</xdr:colOff>
      <xdr:row>15</xdr:row>
      <xdr:rowOff>52293</xdr:rowOff>
    </xdr:from>
    <xdr:to>
      <xdr:col>12</xdr:col>
      <xdr:colOff>440762</xdr:colOff>
      <xdr:row>19</xdr:row>
      <xdr:rowOff>29882</xdr:rowOff>
    </xdr:to>
    <xdr:pic>
      <xdr:nvPicPr>
        <xdr:cNvPr id="87" name="Graphic 86" descr="Male profile with solid fill">
          <a:extLst>
            <a:ext uri="{FF2B5EF4-FFF2-40B4-BE49-F238E27FC236}">
              <a16:creationId xmlns:a16="http://schemas.microsoft.com/office/drawing/2014/main" id="{1281DF75-32AB-EF3E-35CD-590863612C0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067174" y="2853764"/>
          <a:ext cx="724647" cy="724647"/>
        </a:xfrm>
        <a:prstGeom prst="rect">
          <a:avLst/>
        </a:prstGeom>
      </xdr:spPr>
    </xdr:pic>
    <xdr:clientData/>
  </xdr:twoCellAnchor>
  <xdr:twoCellAnchor>
    <xdr:from>
      <xdr:col>11</xdr:col>
      <xdr:colOff>452721</xdr:colOff>
      <xdr:row>18</xdr:row>
      <xdr:rowOff>100103</xdr:rowOff>
    </xdr:from>
    <xdr:to>
      <xdr:col>13</xdr:col>
      <xdr:colOff>25399</xdr:colOff>
      <xdr:row>21</xdr:row>
      <xdr:rowOff>121022</xdr:rowOff>
    </xdr:to>
    <xdr:sp macro="" textlink="Pivot!$Q$15">
      <xdr:nvSpPr>
        <xdr:cNvPr id="88" name="Rectangle 87">
          <a:extLst>
            <a:ext uri="{FF2B5EF4-FFF2-40B4-BE49-F238E27FC236}">
              <a16:creationId xmlns:a16="http://schemas.microsoft.com/office/drawing/2014/main" id="{281F99D4-D284-43BC-9FBC-6183CA624B3E}"/>
            </a:ext>
          </a:extLst>
        </xdr:cNvPr>
        <xdr:cNvSpPr/>
      </xdr:nvSpPr>
      <xdr:spPr>
        <a:xfrm>
          <a:off x="7191192" y="3461868"/>
          <a:ext cx="797854" cy="5812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ECD2E0-F8C4-43E6-8D8B-25D983661ED6}" type="TxLink">
            <a:rPr lang="en-US" sz="1400" b="1" i="0" u="none" strike="noStrike">
              <a:solidFill>
                <a:schemeClr val="bg1"/>
              </a:solidFill>
              <a:latin typeface="Aptos Narrow"/>
            </a:rPr>
            <a:pPr algn="l"/>
            <a:t>52%</a:t>
          </a:fld>
          <a:endParaRPr lang="en-US" sz="2800" b="1">
            <a:solidFill>
              <a:schemeClr val="bg1"/>
            </a:solidFill>
          </a:endParaRPr>
        </a:p>
      </xdr:txBody>
    </xdr:sp>
    <xdr:clientData/>
  </xdr:twoCellAnchor>
  <xdr:twoCellAnchor>
    <xdr:from>
      <xdr:col>7</xdr:col>
      <xdr:colOff>126998</xdr:colOff>
      <xdr:row>25</xdr:row>
      <xdr:rowOff>29880</xdr:rowOff>
    </xdr:from>
    <xdr:to>
      <xdr:col>14</xdr:col>
      <xdr:colOff>37352</xdr:colOff>
      <xdr:row>33</xdr:row>
      <xdr:rowOff>112054</xdr:rowOff>
    </xdr:to>
    <xdr:graphicFrame macro="">
      <xdr:nvGraphicFramePr>
        <xdr:cNvPr id="89" name="Chart 88">
          <a:extLst>
            <a:ext uri="{FF2B5EF4-FFF2-40B4-BE49-F238E27FC236}">
              <a16:creationId xmlns:a16="http://schemas.microsoft.com/office/drawing/2014/main" id="{54CB985A-2F8F-422C-8A2E-6CFB767E4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400433</xdr:colOff>
      <xdr:row>22</xdr:row>
      <xdr:rowOff>26888</xdr:rowOff>
    </xdr:from>
    <xdr:to>
      <xdr:col>11</xdr:col>
      <xdr:colOff>174811</xdr:colOff>
      <xdr:row>23</xdr:row>
      <xdr:rowOff>162857</xdr:rowOff>
    </xdr:to>
    <xdr:sp macro="" textlink="">
      <xdr:nvSpPr>
        <xdr:cNvPr id="90" name="Rectangle 89">
          <a:extLst>
            <a:ext uri="{FF2B5EF4-FFF2-40B4-BE49-F238E27FC236}">
              <a16:creationId xmlns:a16="http://schemas.microsoft.com/office/drawing/2014/main" id="{29DF2826-B12B-4D78-B426-FFF283AF4818}"/>
            </a:ext>
          </a:extLst>
        </xdr:cNvPr>
        <xdr:cNvSpPr/>
      </xdr:nvSpPr>
      <xdr:spPr>
        <a:xfrm>
          <a:off x="4688551" y="4135712"/>
          <a:ext cx="2224731"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Gender</a:t>
          </a:r>
          <a:r>
            <a:rPr lang="en-US" sz="1600" b="1" baseline="0">
              <a:solidFill>
                <a:srgbClr val="FF0000"/>
              </a:solidFill>
            </a:rPr>
            <a:t> Range</a:t>
          </a:r>
          <a:endParaRPr lang="en-US" sz="1100" b="1">
            <a:solidFill>
              <a:srgbClr val="FF0000"/>
            </a:solidFill>
          </a:endParaRPr>
        </a:p>
      </xdr:txBody>
    </xdr:sp>
    <xdr:clientData/>
  </xdr:twoCellAnchor>
  <xdr:twoCellAnchor>
    <xdr:from>
      <xdr:col>7</xdr:col>
      <xdr:colOff>301809</xdr:colOff>
      <xdr:row>22</xdr:row>
      <xdr:rowOff>122508</xdr:rowOff>
    </xdr:from>
    <xdr:to>
      <xdr:col>7</xdr:col>
      <xdr:colOff>443754</xdr:colOff>
      <xdr:row>23</xdr:row>
      <xdr:rowOff>77694</xdr:rowOff>
    </xdr:to>
    <xdr:sp macro="" textlink="">
      <xdr:nvSpPr>
        <xdr:cNvPr id="91" name="Oval 90">
          <a:extLst>
            <a:ext uri="{FF2B5EF4-FFF2-40B4-BE49-F238E27FC236}">
              <a16:creationId xmlns:a16="http://schemas.microsoft.com/office/drawing/2014/main" id="{CFE968B8-2EB3-4555-8838-9E94617891C2}"/>
            </a:ext>
          </a:extLst>
        </xdr:cNvPr>
        <xdr:cNvSpPr/>
      </xdr:nvSpPr>
      <xdr:spPr>
        <a:xfrm>
          <a:off x="4589927" y="4231332"/>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8</xdr:col>
      <xdr:colOff>440775</xdr:colOff>
      <xdr:row>23</xdr:row>
      <xdr:rowOff>164348</xdr:rowOff>
    </xdr:from>
    <xdr:to>
      <xdr:col>10</xdr:col>
      <xdr:colOff>286871</xdr:colOff>
      <xdr:row>25</xdr:row>
      <xdr:rowOff>113551</xdr:rowOff>
    </xdr:to>
    <xdr:sp macro="" textlink="">
      <xdr:nvSpPr>
        <xdr:cNvPr id="92" name="Rectangle 91">
          <a:extLst>
            <a:ext uri="{FF2B5EF4-FFF2-40B4-BE49-F238E27FC236}">
              <a16:creationId xmlns:a16="http://schemas.microsoft.com/office/drawing/2014/main" id="{2791CC37-E3B0-45A5-99CA-3D26794C6161}"/>
            </a:ext>
          </a:extLst>
        </xdr:cNvPr>
        <xdr:cNvSpPr/>
      </xdr:nvSpPr>
      <xdr:spPr>
        <a:xfrm>
          <a:off x="5341481" y="4459936"/>
          <a:ext cx="1071272"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Female</a:t>
          </a:r>
          <a:endParaRPr lang="en-US" sz="1100" b="1">
            <a:solidFill>
              <a:srgbClr val="FF0000"/>
            </a:solidFill>
          </a:endParaRPr>
        </a:p>
      </xdr:txBody>
    </xdr:sp>
    <xdr:clientData/>
  </xdr:twoCellAnchor>
  <xdr:twoCellAnchor>
    <xdr:from>
      <xdr:col>8</xdr:col>
      <xdr:colOff>386979</xdr:colOff>
      <xdr:row>24</xdr:row>
      <xdr:rowOff>88150</xdr:rowOff>
    </xdr:from>
    <xdr:to>
      <xdr:col>8</xdr:col>
      <xdr:colOff>496053</xdr:colOff>
      <xdr:row>25</xdr:row>
      <xdr:rowOff>17935</xdr:rowOff>
    </xdr:to>
    <xdr:sp macro="" textlink="">
      <xdr:nvSpPr>
        <xdr:cNvPr id="93" name="Oval 92">
          <a:extLst>
            <a:ext uri="{FF2B5EF4-FFF2-40B4-BE49-F238E27FC236}">
              <a16:creationId xmlns:a16="http://schemas.microsoft.com/office/drawing/2014/main" id="{510EFFEB-8059-4B42-8027-3A801A54A78D}"/>
            </a:ext>
          </a:extLst>
        </xdr:cNvPr>
        <xdr:cNvSpPr/>
      </xdr:nvSpPr>
      <xdr:spPr>
        <a:xfrm>
          <a:off x="5287685" y="4570503"/>
          <a:ext cx="109074" cy="116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11</xdr:col>
      <xdr:colOff>292861</xdr:colOff>
      <xdr:row>24</xdr:row>
      <xdr:rowOff>76191</xdr:rowOff>
    </xdr:from>
    <xdr:to>
      <xdr:col>11</xdr:col>
      <xdr:colOff>401935</xdr:colOff>
      <xdr:row>25</xdr:row>
      <xdr:rowOff>5976</xdr:rowOff>
    </xdr:to>
    <xdr:sp macro="" textlink="">
      <xdr:nvSpPr>
        <xdr:cNvPr id="94" name="Oval 93">
          <a:extLst>
            <a:ext uri="{FF2B5EF4-FFF2-40B4-BE49-F238E27FC236}">
              <a16:creationId xmlns:a16="http://schemas.microsoft.com/office/drawing/2014/main" id="{B004DCEB-DB33-41DB-9F05-9CB2A004D024}"/>
            </a:ext>
          </a:extLst>
        </xdr:cNvPr>
        <xdr:cNvSpPr/>
      </xdr:nvSpPr>
      <xdr:spPr>
        <a:xfrm>
          <a:off x="7031332" y="4558544"/>
          <a:ext cx="109074" cy="116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11</xdr:col>
      <xdr:colOff>354115</xdr:colOff>
      <xdr:row>23</xdr:row>
      <xdr:rowOff>152393</xdr:rowOff>
    </xdr:from>
    <xdr:to>
      <xdr:col>13</xdr:col>
      <xdr:colOff>200211</xdr:colOff>
      <xdr:row>25</xdr:row>
      <xdr:rowOff>101596</xdr:rowOff>
    </xdr:to>
    <xdr:sp macro="" textlink="">
      <xdr:nvSpPr>
        <xdr:cNvPr id="95" name="Rectangle 94">
          <a:extLst>
            <a:ext uri="{FF2B5EF4-FFF2-40B4-BE49-F238E27FC236}">
              <a16:creationId xmlns:a16="http://schemas.microsoft.com/office/drawing/2014/main" id="{2FC7A13F-BA33-4C4E-8024-3E88D7EA2DF8}"/>
            </a:ext>
          </a:extLst>
        </xdr:cNvPr>
        <xdr:cNvSpPr/>
      </xdr:nvSpPr>
      <xdr:spPr>
        <a:xfrm>
          <a:off x="7092586" y="4447981"/>
          <a:ext cx="1071272"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Male</a:t>
          </a:r>
          <a:endParaRPr lang="en-US" sz="1100" b="1">
            <a:solidFill>
              <a:srgbClr val="FF0000"/>
            </a:solidFill>
          </a:endParaRPr>
        </a:p>
      </xdr:txBody>
    </xdr:sp>
    <xdr:clientData/>
  </xdr:twoCellAnchor>
  <xdr:twoCellAnchor>
    <xdr:from>
      <xdr:col>2</xdr:col>
      <xdr:colOff>579728</xdr:colOff>
      <xdr:row>22</xdr:row>
      <xdr:rowOff>4474</xdr:rowOff>
    </xdr:from>
    <xdr:to>
      <xdr:col>6</xdr:col>
      <xdr:colOff>354106</xdr:colOff>
      <xdr:row>23</xdr:row>
      <xdr:rowOff>140443</xdr:rowOff>
    </xdr:to>
    <xdr:sp macro="" textlink="">
      <xdr:nvSpPr>
        <xdr:cNvPr id="2" name="Rectangle 1">
          <a:extLst>
            <a:ext uri="{FF2B5EF4-FFF2-40B4-BE49-F238E27FC236}">
              <a16:creationId xmlns:a16="http://schemas.microsoft.com/office/drawing/2014/main" id="{D3192853-0E28-4F85-A819-3613C7E20347}"/>
            </a:ext>
          </a:extLst>
        </xdr:cNvPr>
        <xdr:cNvSpPr/>
      </xdr:nvSpPr>
      <xdr:spPr>
        <a:xfrm>
          <a:off x="1804904" y="4113298"/>
          <a:ext cx="2224731"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Work</a:t>
          </a:r>
          <a:r>
            <a:rPr lang="en-US" sz="1600" b="1" baseline="0">
              <a:solidFill>
                <a:srgbClr val="FF0000"/>
              </a:solidFill>
            </a:rPr>
            <a:t> Location</a:t>
          </a:r>
          <a:endParaRPr lang="en-US" sz="1100" b="1">
            <a:solidFill>
              <a:srgbClr val="FF0000"/>
            </a:solidFill>
          </a:endParaRPr>
        </a:p>
      </xdr:txBody>
    </xdr:sp>
    <xdr:clientData/>
  </xdr:twoCellAnchor>
  <xdr:twoCellAnchor>
    <xdr:from>
      <xdr:col>2</xdr:col>
      <xdr:colOff>496045</xdr:colOff>
      <xdr:row>22</xdr:row>
      <xdr:rowOff>100097</xdr:rowOff>
    </xdr:from>
    <xdr:to>
      <xdr:col>3</xdr:col>
      <xdr:colOff>25401</xdr:colOff>
      <xdr:row>23</xdr:row>
      <xdr:rowOff>55283</xdr:rowOff>
    </xdr:to>
    <xdr:sp macro="" textlink="">
      <xdr:nvSpPr>
        <xdr:cNvPr id="3" name="Oval 2">
          <a:extLst>
            <a:ext uri="{FF2B5EF4-FFF2-40B4-BE49-F238E27FC236}">
              <a16:creationId xmlns:a16="http://schemas.microsoft.com/office/drawing/2014/main" id="{482C1BE8-B73E-43B1-A6CD-BB9377B0F772}"/>
            </a:ext>
          </a:extLst>
        </xdr:cNvPr>
        <xdr:cNvSpPr/>
      </xdr:nvSpPr>
      <xdr:spPr>
        <a:xfrm>
          <a:off x="1721221" y="4208921"/>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2</xdr:col>
      <xdr:colOff>433301</xdr:colOff>
      <xdr:row>23</xdr:row>
      <xdr:rowOff>37355</xdr:rowOff>
    </xdr:from>
    <xdr:to>
      <xdr:col>7</xdr:col>
      <xdr:colOff>224120</xdr:colOff>
      <xdr:row>34</xdr:row>
      <xdr:rowOff>22414</xdr:rowOff>
    </xdr:to>
    <xdr:graphicFrame macro="">
      <xdr:nvGraphicFramePr>
        <xdr:cNvPr id="10" name="Chart 9">
          <a:extLst>
            <a:ext uri="{FF2B5EF4-FFF2-40B4-BE49-F238E27FC236}">
              <a16:creationId xmlns:a16="http://schemas.microsoft.com/office/drawing/2014/main" id="{ADF31634-A6E9-458E-B2F1-648E36C0E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464676</xdr:colOff>
      <xdr:row>23</xdr:row>
      <xdr:rowOff>91145</xdr:rowOff>
    </xdr:from>
    <xdr:to>
      <xdr:col>7</xdr:col>
      <xdr:colOff>147918</xdr:colOff>
      <xdr:row>27</xdr:row>
      <xdr:rowOff>43334</xdr:rowOff>
    </xdr:to>
    <xdr:sp macro="" textlink="Pivot!K15">
      <xdr:nvSpPr>
        <xdr:cNvPr id="11" name="Rectangle 10">
          <a:extLst>
            <a:ext uri="{FF2B5EF4-FFF2-40B4-BE49-F238E27FC236}">
              <a16:creationId xmlns:a16="http://schemas.microsoft.com/office/drawing/2014/main" id="{ED906A89-793B-4207-AD6C-0A71F6F3F8C8}"/>
            </a:ext>
          </a:extLst>
        </xdr:cNvPr>
        <xdr:cNvSpPr/>
      </xdr:nvSpPr>
      <xdr:spPr>
        <a:xfrm>
          <a:off x="1689852" y="4386733"/>
          <a:ext cx="2746184" cy="6992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0F1689-1550-46B3-BC37-DCFF4D079C32}" type="TxLink">
            <a:rPr lang="en-US" sz="1400" b="1" i="0" u="none" strike="noStrike">
              <a:solidFill>
                <a:schemeClr val="bg1"/>
              </a:solidFill>
              <a:latin typeface="Aptos Narrow"/>
            </a:rPr>
            <a:t>Branch Office</a:t>
          </a:fld>
          <a:endParaRPr lang="en-US" sz="2000" b="1">
            <a:solidFill>
              <a:schemeClr val="bg1"/>
            </a:solidFill>
          </a:endParaRPr>
        </a:p>
      </xdr:txBody>
    </xdr:sp>
    <xdr:clientData/>
  </xdr:twoCellAnchor>
  <xdr:twoCellAnchor>
    <xdr:from>
      <xdr:col>2</xdr:col>
      <xdr:colOff>460192</xdr:colOff>
      <xdr:row>26</xdr:row>
      <xdr:rowOff>131484</xdr:rowOff>
    </xdr:from>
    <xdr:to>
      <xdr:col>7</xdr:col>
      <xdr:colOff>143434</xdr:colOff>
      <xdr:row>30</xdr:row>
      <xdr:rowOff>83673</xdr:rowOff>
    </xdr:to>
    <xdr:sp macro="" textlink="Pivot!K16">
      <xdr:nvSpPr>
        <xdr:cNvPr id="12" name="Rectangle 11">
          <a:extLst>
            <a:ext uri="{FF2B5EF4-FFF2-40B4-BE49-F238E27FC236}">
              <a16:creationId xmlns:a16="http://schemas.microsoft.com/office/drawing/2014/main" id="{69AB7283-42E2-468C-8F9E-74F1D00610A9}"/>
            </a:ext>
          </a:extLst>
        </xdr:cNvPr>
        <xdr:cNvSpPr/>
      </xdr:nvSpPr>
      <xdr:spPr>
        <a:xfrm>
          <a:off x="1685368" y="4987366"/>
          <a:ext cx="2746184" cy="6992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7CAE6D-5CDD-4C86-85C9-80128859E8A8}" type="TxLink">
            <a:rPr lang="en-US" sz="1400" b="1" i="0" u="none" strike="noStrike">
              <a:solidFill>
                <a:schemeClr val="bg1"/>
              </a:solidFill>
              <a:latin typeface="Aptos Narrow"/>
            </a:rPr>
            <a:t>Head Office</a:t>
          </a:fld>
          <a:endParaRPr lang="en-US" sz="2800" b="1">
            <a:solidFill>
              <a:schemeClr val="bg1"/>
            </a:solidFill>
          </a:endParaRPr>
        </a:p>
      </xdr:txBody>
    </xdr:sp>
    <xdr:clientData/>
  </xdr:twoCellAnchor>
  <xdr:twoCellAnchor>
    <xdr:from>
      <xdr:col>2</xdr:col>
      <xdr:colOff>467665</xdr:colOff>
      <xdr:row>29</xdr:row>
      <xdr:rowOff>161369</xdr:rowOff>
    </xdr:from>
    <xdr:to>
      <xdr:col>7</xdr:col>
      <xdr:colOff>150907</xdr:colOff>
      <xdr:row>33</xdr:row>
      <xdr:rowOff>113558</xdr:rowOff>
    </xdr:to>
    <xdr:sp macro="" textlink="Pivot!K17">
      <xdr:nvSpPr>
        <xdr:cNvPr id="18" name="Rectangle 17">
          <a:extLst>
            <a:ext uri="{FF2B5EF4-FFF2-40B4-BE49-F238E27FC236}">
              <a16:creationId xmlns:a16="http://schemas.microsoft.com/office/drawing/2014/main" id="{1A75F55B-65D3-4575-A59E-A0676D91D6CA}"/>
            </a:ext>
          </a:extLst>
        </xdr:cNvPr>
        <xdr:cNvSpPr/>
      </xdr:nvSpPr>
      <xdr:spPr>
        <a:xfrm>
          <a:off x="1692841" y="5577545"/>
          <a:ext cx="2746184" cy="6992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0FBB1E3-DAD3-48BB-B8D8-A266001CDEEC}" type="TxLink">
            <a:rPr lang="en-US" sz="1400" b="1" i="0" u="none" strike="noStrike">
              <a:solidFill>
                <a:schemeClr val="bg1"/>
              </a:solidFill>
              <a:latin typeface="Aptos Narrow"/>
            </a:rPr>
            <a:t>Remote</a:t>
          </a:fld>
          <a:endParaRPr lang="en-US" sz="2800" b="1">
            <a:solidFill>
              <a:schemeClr val="bg1"/>
            </a:solidFill>
          </a:endParaRPr>
        </a:p>
      </xdr:txBody>
    </xdr:sp>
    <xdr:clientData/>
  </xdr:twoCellAnchor>
  <xdr:twoCellAnchor>
    <xdr:from>
      <xdr:col>14</xdr:col>
      <xdr:colOff>135963</xdr:colOff>
      <xdr:row>12</xdr:row>
      <xdr:rowOff>164360</xdr:rowOff>
    </xdr:from>
    <xdr:to>
      <xdr:col>21</xdr:col>
      <xdr:colOff>29881</xdr:colOff>
      <xdr:row>22</xdr:row>
      <xdr:rowOff>37359</xdr:rowOff>
    </xdr:to>
    <xdr:graphicFrame macro="">
      <xdr:nvGraphicFramePr>
        <xdr:cNvPr id="19" name="Chart 18">
          <a:extLst>
            <a:ext uri="{FF2B5EF4-FFF2-40B4-BE49-F238E27FC236}">
              <a16:creationId xmlns:a16="http://schemas.microsoft.com/office/drawing/2014/main" id="{475D204F-D0E7-486B-B385-26567A4FF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333199</xdr:colOff>
      <xdr:row>10</xdr:row>
      <xdr:rowOff>153892</xdr:rowOff>
    </xdr:from>
    <xdr:to>
      <xdr:col>18</xdr:col>
      <xdr:colOff>107577</xdr:colOff>
      <xdr:row>12</xdr:row>
      <xdr:rowOff>103096</xdr:rowOff>
    </xdr:to>
    <xdr:sp macro="" textlink="">
      <xdr:nvSpPr>
        <xdr:cNvPr id="20" name="Rectangle 19">
          <a:extLst>
            <a:ext uri="{FF2B5EF4-FFF2-40B4-BE49-F238E27FC236}">
              <a16:creationId xmlns:a16="http://schemas.microsoft.com/office/drawing/2014/main" id="{15398F06-7A52-440E-AF2C-50B1CD81342E}"/>
            </a:ext>
          </a:extLst>
        </xdr:cNvPr>
        <xdr:cNvSpPr/>
      </xdr:nvSpPr>
      <xdr:spPr>
        <a:xfrm>
          <a:off x="8909434" y="2021539"/>
          <a:ext cx="2224731"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Leave</a:t>
          </a:r>
          <a:r>
            <a:rPr lang="en-US" sz="1600" b="1" baseline="0">
              <a:solidFill>
                <a:srgbClr val="FF0000"/>
              </a:solidFill>
            </a:rPr>
            <a:t> Tracking</a:t>
          </a:r>
          <a:endParaRPr lang="en-US" sz="1100" b="1">
            <a:solidFill>
              <a:srgbClr val="FF0000"/>
            </a:solidFill>
          </a:endParaRPr>
        </a:p>
      </xdr:txBody>
    </xdr:sp>
    <xdr:clientData/>
  </xdr:twoCellAnchor>
  <xdr:twoCellAnchor>
    <xdr:from>
      <xdr:col>14</xdr:col>
      <xdr:colOff>242044</xdr:colOff>
      <xdr:row>11</xdr:row>
      <xdr:rowOff>70217</xdr:rowOff>
    </xdr:from>
    <xdr:to>
      <xdr:col>14</xdr:col>
      <xdr:colOff>383989</xdr:colOff>
      <xdr:row>12</xdr:row>
      <xdr:rowOff>25403</xdr:rowOff>
    </xdr:to>
    <xdr:sp macro="" textlink="">
      <xdr:nvSpPr>
        <xdr:cNvPr id="28" name="Oval 27">
          <a:extLst>
            <a:ext uri="{FF2B5EF4-FFF2-40B4-BE49-F238E27FC236}">
              <a16:creationId xmlns:a16="http://schemas.microsoft.com/office/drawing/2014/main" id="{2DB44A79-DE97-4B8D-AFAD-A13CF2A162A4}"/>
            </a:ext>
          </a:extLst>
        </xdr:cNvPr>
        <xdr:cNvSpPr/>
      </xdr:nvSpPr>
      <xdr:spPr>
        <a:xfrm>
          <a:off x="8818279" y="2124629"/>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14</xdr:col>
      <xdr:colOff>321243</xdr:colOff>
      <xdr:row>22</xdr:row>
      <xdr:rowOff>29871</xdr:rowOff>
    </xdr:from>
    <xdr:to>
      <xdr:col>18</xdr:col>
      <xdr:colOff>95621</xdr:colOff>
      <xdr:row>23</xdr:row>
      <xdr:rowOff>165840</xdr:rowOff>
    </xdr:to>
    <xdr:sp macro="" textlink="">
      <xdr:nvSpPr>
        <xdr:cNvPr id="29" name="Rectangle 28">
          <a:extLst>
            <a:ext uri="{FF2B5EF4-FFF2-40B4-BE49-F238E27FC236}">
              <a16:creationId xmlns:a16="http://schemas.microsoft.com/office/drawing/2014/main" id="{222853BD-4D2C-4BBE-AF23-D43523927C5F}"/>
            </a:ext>
          </a:extLst>
        </xdr:cNvPr>
        <xdr:cNvSpPr/>
      </xdr:nvSpPr>
      <xdr:spPr>
        <a:xfrm>
          <a:off x="8897478" y="4138695"/>
          <a:ext cx="2224731"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Salaries</a:t>
          </a:r>
          <a:endParaRPr lang="en-US" sz="1100" b="1">
            <a:solidFill>
              <a:srgbClr val="FF0000"/>
            </a:solidFill>
          </a:endParaRPr>
        </a:p>
      </xdr:txBody>
    </xdr:sp>
    <xdr:clientData/>
  </xdr:twoCellAnchor>
  <xdr:twoCellAnchor>
    <xdr:from>
      <xdr:col>14</xdr:col>
      <xdr:colOff>237553</xdr:colOff>
      <xdr:row>22</xdr:row>
      <xdr:rowOff>118043</xdr:rowOff>
    </xdr:from>
    <xdr:to>
      <xdr:col>14</xdr:col>
      <xdr:colOff>379498</xdr:colOff>
      <xdr:row>23</xdr:row>
      <xdr:rowOff>73229</xdr:rowOff>
    </xdr:to>
    <xdr:sp macro="" textlink="">
      <xdr:nvSpPr>
        <xdr:cNvPr id="30" name="Oval 29">
          <a:extLst>
            <a:ext uri="{FF2B5EF4-FFF2-40B4-BE49-F238E27FC236}">
              <a16:creationId xmlns:a16="http://schemas.microsoft.com/office/drawing/2014/main" id="{8E5D194C-770C-46ED-A536-1B6FD7CA116C}"/>
            </a:ext>
          </a:extLst>
        </xdr:cNvPr>
        <xdr:cNvSpPr/>
      </xdr:nvSpPr>
      <xdr:spPr>
        <a:xfrm>
          <a:off x="8813788" y="4226867"/>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14</xdr:col>
      <xdr:colOff>383992</xdr:colOff>
      <xdr:row>25</xdr:row>
      <xdr:rowOff>62761</xdr:rowOff>
    </xdr:from>
    <xdr:to>
      <xdr:col>16</xdr:col>
      <xdr:colOff>22411</xdr:colOff>
      <xdr:row>26</xdr:row>
      <xdr:rowOff>171826</xdr:rowOff>
    </xdr:to>
    <xdr:sp macro="" textlink="Pivot!T12">
      <xdr:nvSpPr>
        <xdr:cNvPr id="32" name="Rectangle 31">
          <a:extLst>
            <a:ext uri="{FF2B5EF4-FFF2-40B4-BE49-F238E27FC236}">
              <a16:creationId xmlns:a16="http://schemas.microsoft.com/office/drawing/2014/main" id="{2A917CC0-F9C3-4A4B-AF69-D9FC86F2D025}"/>
            </a:ext>
          </a:extLst>
        </xdr:cNvPr>
        <xdr:cNvSpPr/>
      </xdr:nvSpPr>
      <xdr:spPr>
        <a:xfrm>
          <a:off x="8960227" y="4731879"/>
          <a:ext cx="863596" cy="295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5962BF2-232F-41C0-9977-00137F798180}" type="TxLink">
            <a:rPr lang="en-US" sz="1600" b="1" i="0" u="none" strike="noStrike">
              <a:solidFill>
                <a:schemeClr val="bg1"/>
              </a:solidFill>
              <a:latin typeface="Aptos Narrow"/>
            </a:rPr>
            <a:t>Analyst</a:t>
          </a:fld>
          <a:endParaRPr lang="en-US" sz="2400" b="1">
            <a:solidFill>
              <a:schemeClr val="bg1"/>
            </a:solidFill>
          </a:endParaRPr>
        </a:p>
      </xdr:txBody>
    </xdr:sp>
    <xdr:clientData/>
  </xdr:twoCellAnchor>
  <xdr:twoCellAnchor>
    <xdr:from>
      <xdr:col>14</xdr:col>
      <xdr:colOff>372042</xdr:colOff>
      <xdr:row>26</xdr:row>
      <xdr:rowOff>132985</xdr:rowOff>
    </xdr:from>
    <xdr:to>
      <xdr:col>16</xdr:col>
      <xdr:colOff>186767</xdr:colOff>
      <xdr:row>28</xdr:row>
      <xdr:rowOff>97119</xdr:rowOff>
    </xdr:to>
    <xdr:sp macro="" textlink="Pivot!T13">
      <xdr:nvSpPr>
        <xdr:cNvPr id="34" name="Rectangle 33">
          <a:extLst>
            <a:ext uri="{FF2B5EF4-FFF2-40B4-BE49-F238E27FC236}">
              <a16:creationId xmlns:a16="http://schemas.microsoft.com/office/drawing/2014/main" id="{85F730FE-11C4-4130-B84E-25D9B0CDFE6C}"/>
            </a:ext>
          </a:extLst>
        </xdr:cNvPr>
        <xdr:cNvSpPr/>
      </xdr:nvSpPr>
      <xdr:spPr>
        <a:xfrm>
          <a:off x="8948277" y="4988867"/>
          <a:ext cx="1039902" cy="3376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4608FF4-17A4-49E0-B455-914FFF37EE9C}" type="TxLink">
            <a:rPr lang="en-US" sz="1600" b="1" i="0" u="none" strike="noStrike">
              <a:solidFill>
                <a:schemeClr val="bg1"/>
              </a:solidFill>
              <a:latin typeface="Aptos Narrow"/>
            </a:rPr>
            <a:t>Designer</a:t>
          </a:fld>
          <a:endParaRPr lang="en-US" sz="3600" b="1">
            <a:solidFill>
              <a:schemeClr val="bg1"/>
            </a:solidFill>
          </a:endParaRPr>
        </a:p>
      </xdr:txBody>
    </xdr:sp>
    <xdr:clientData/>
  </xdr:twoCellAnchor>
  <xdr:twoCellAnchor>
    <xdr:from>
      <xdr:col>14</xdr:col>
      <xdr:colOff>367562</xdr:colOff>
      <xdr:row>28</xdr:row>
      <xdr:rowOff>46330</xdr:rowOff>
    </xdr:from>
    <xdr:to>
      <xdr:col>16</xdr:col>
      <xdr:colOff>366064</xdr:colOff>
      <xdr:row>30</xdr:row>
      <xdr:rowOff>7477</xdr:rowOff>
    </xdr:to>
    <xdr:sp macro="" textlink="Pivot!T14">
      <xdr:nvSpPr>
        <xdr:cNvPr id="36" name="Rectangle 35">
          <a:extLst>
            <a:ext uri="{FF2B5EF4-FFF2-40B4-BE49-F238E27FC236}">
              <a16:creationId xmlns:a16="http://schemas.microsoft.com/office/drawing/2014/main" id="{CF859CF1-E253-43ED-8DE4-6DF2E91EB985}"/>
            </a:ext>
          </a:extLst>
        </xdr:cNvPr>
        <xdr:cNvSpPr/>
      </xdr:nvSpPr>
      <xdr:spPr>
        <a:xfrm>
          <a:off x="8943797" y="5275742"/>
          <a:ext cx="1223679" cy="3346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FFE7762-E667-4E66-AB1C-4C0F4AAB6BA9}" type="TxLink">
            <a:rPr lang="en-US" sz="1600" b="1" i="0" u="none" strike="noStrike">
              <a:solidFill>
                <a:schemeClr val="bg1"/>
              </a:solidFill>
              <a:latin typeface="Aptos Narrow"/>
            </a:rPr>
            <a:t>Developer</a:t>
          </a:fld>
          <a:endParaRPr lang="en-US" sz="3600" b="1">
            <a:solidFill>
              <a:schemeClr val="bg1"/>
            </a:solidFill>
          </a:endParaRPr>
        </a:p>
      </xdr:txBody>
    </xdr:sp>
    <xdr:clientData/>
  </xdr:twoCellAnchor>
  <xdr:twoCellAnchor>
    <xdr:from>
      <xdr:col>14</xdr:col>
      <xdr:colOff>355591</xdr:colOff>
      <xdr:row>29</xdr:row>
      <xdr:rowOff>138959</xdr:rowOff>
    </xdr:from>
    <xdr:to>
      <xdr:col>17</xdr:col>
      <xdr:colOff>418340</xdr:colOff>
      <xdr:row>31</xdr:row>
      <xdr:rowOff>119528</xdr:rowOff>
    </xdr:to>
    <xdr:sp macro="" textlink="Pivot!T15">
      <xdr:nvSpPr>
        <xdr:cNvPr id="37" name="Rectangle 36">
          <a:extLst>
            <a:ext uri="{FF2B5EF4-FFF2-40B4-BE49-F238E27FC236}">
              <a16:creationId xmlns:a16="http://schemas.microsoft.com/office/drawing/2014/main" id="{4E464278-DE81-4E19-9C3B-3EEC70E5918B}"/>
            </a:ext>
          </a:extLst>
        </xdr:cNvPr>
        <xdr:cNvSpPr/>
      </xdr:nvSpPr>
      <xdr:spPr>
        <a:xfrm>
          <a:off x="8931826" y="5555135"/>
          <a:ext cx="1900514" cy="3540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F7B666-CB97-43FF-B5ED-BD53092E3D56}" type="TxLink">
            <a:rPr lang="en-US" sz="1600" b="1" i="0" u="none" strike="noStrike">
              <a:solidFill>
                <a:schemeClr val="bg1"/>
              </a:solidFill>
              <a:latin typeface="Aptos Narrow"/>
            </a:rPr>
            <a:t>HR Specialist</a:t>
          </a:fld>
          <a:endParaRPr lang="en-US" sz="3600" b="1">
            <a:solidFill>
              <a:schemeClr val="bg1"/>
            </a:solidFill>
          </a:endParaRPr>
        </a:p>
      </xdr:txBody>
    </xdr:sp>
    <xdr:clientData/>
  </xdr:twoCellAnchor>
  <xdr:twoCellAnchor>
    <xdr:from>
      <xdr:col>14</xdr:col>
      <xdr:colOff>351118</xdr:colOff>
      <xdr:row>31</xdr:row>
      <xdr:rowOff>44831</xdr:rowOff>
    </xdr:from>
    <xdr:to>
      <xdr:col>17</xdr:col>
      <xdr:colOff>261467</xdr:colOff>
      <xdr:row>33</xdr:row>
      <xdr:rowOff>104590</xdr:rowOff>
    </xdr:to>
    <xdr:sp macro="" textlink="Pivot!T16">
      <xdr:nvSpPr>
        <xdr:cNvPr id="38" name="Rectangle 37">
          <a:extLst>
            <a:ext uri="{FF2B5EF4-FFF2-40B4-BE49-F238E27FC236}">
              <a16:creationId xmlns:a16="http://schemas.microsoft.com/office/drawing/2014/main" id="{E2BA3EB3-EA69-4390-AF81-D0B436F92C25}"/>
            </a:ext>
          </a:extLst>
        </xdr:cNvPr>
        <xdr:cNvSpPr/>
      </xdr:nvSpPr>
      <xdr:spPr>
        <a:xfrm>
          <a:off x="8927353" y="5834537"/>
          <a:ext cx="1748114" cy="4332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9E9FF4-4174-4C90-AF46-2F63D3D2F74E}" type="TxLink">
            <a:rPr lang="en-US" sz="1600" b="1" i="0" u="none" strike="noStrike">
              <a:solidFill>
                <a:schemeClr val="bg1"/>
              </a:solidFill>
              <a:latin typeface="Aptos Narrow"/>
            </a:rPr>
            <a:t>Manager</a:t>
          </a:fld>
          <a:endParaRPr lang="en-US" sz="3600" b="1">
            <a:solidFill>
              <a:schemeClr val="bg1"/>
            </a:solidFill>
          </a:endParaRPr>
        </a:p>
      </xdr:txBody>
    </xdr:sp>
    <xdr:clientData/>
  </xdr:twoCellAnchor>
  <xdr:twoCellAnchor>
    <xdr:from>
      <xdr:col>14</xdr:col>
      <xdr:colOff>379510</xdr:colOff>
      <xdr:row>23</xdr:row>
      <xdr:rowOff>35867</xdr:rowOff>
    </xdr:from>
    <xdr:to>
      <xdr:col>18</xdr:col>
      <xdr:colOff>321236</xdr:colOff>
      <xdr:row>24</xdr:row>
      <xdr:rowOff>179293</xdr:rowOff>
    </xdr:to>
    <xdr:sp macro="" textlink="Pivot!T12">
      <xdr:nvSpPr>
        <xdr:cNvPr id="39" name="Rectangle 38">
          <a:extLst>
            <a:ext uri="{FF2B5EF4-FFF2-40B4-BE49-F238E27FC236}">
              <a16:creationId xmlns:a16="http://schemas.microsoft.com/office/drawing/2014/main" id="{E5D54165-531B-4E16-93D5-AF41B8698025}"/>
            </a:ext>
          </a:extLst>
        </xdr:cNvPr>
        <xdr:cNvSpPr/>
      </xdr:nvSpPr>
      <xdr:spPr>
        <a:xfrm>
          <a:off x="8955745" y="4331455"/>
          <a:ext cx="2392079" cy="3301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Salary amount</a:t>
          </a:r>
          <a:r>
            <a:rPr lang="en-US" sz="1200" b="1" baseline="0">
              <a:solidFill>
                <a:schemeClr val="bg1"/>
              </a:solidFill>
            </a:rPr>
            <a:t> by job Titles </a:t>
          </a:r>
          <a:endParaRPr lang="en-US" sz="1200" b="1">
            <a:solidFill>
              <a:schemeClr val="bg1"/>
            </a:solidFill>
          </a:endParaRPr>
        </a:p>
      </xdr:txBody>
    </xdr:sp>
    <xdr:clientData/>
  </xdr:twoCellAnchor>
  <xdr:twoCellAnchor>
    <xdr:from>
      <xdr:col>18</xdr:col>
      <xdr:colOff>237574</xdr:colOff>
      <xdr:row>25</xdr:row>
      <xdr:rowOff>103106</xdr:rowOff>
    </xdr:from>
    <xdr:to>
      <xdr:col>19</xdr:col>
      <xdr:colOff>488582</xdr:colOff>
      <xdr:row>27</xdr:row>
      <xdr:rowOff>25406</xdr:rowOff>
    </xdr:to>
    <xdr:sp macro="" textlink="Pivot!U12">
      <xdr:nvSpPr>
        <xdr:cNvPr id="40" name="Rectangle 39">
          <a:extLst>
            <a:ext uri="{FF2B5EF4-FFF2-40B4-BE49-F238E27FC236}">
              <a16:creationId xmlns:a16="http://schemas.microsoft.com/office/drawing/2014/main" id="{60B9FB4B-9A20-4569-B0D7-C2DDE2F1D0E2}"/>
            </a:ext>
          </a:extLst>
        </xdr:cNvPr>
        <xdr:cNvSpPr/>
      </xdr:nvSpPr>
      <xdr:spPr>
        <a:xfrm>
          <a:off x="11264162" y="4772224"/>
          <a:ext cx="863596" cy="295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92CECE-107A-4C68-8493-64C20555F967}" type="TxLink">
            <a:rPr lang="en-US" sz="1400" b="1" i="0" u="none" strike="noStrike">
              <a:solidFill>
                <a:schemeClr val="bg1"/>
              </a:solidFill>
              <a:latin typeface="Aptos Narrow"/>
            </a:rPr>
            <a:t>₹991,270</a:t>
          </a:fld>
          <a:endParaRPr lang="en-US" sz="4000" b="1">
            <a:solidFill>
              <a:schemeClr val="bg1"/>
            </a:solidFill>
          </a:endParaRPr>
        </a:p>
      </xdr:txBody>
    </xdr:sp>
    <xdr:clientData/>
  </xdr:twoCellAnchor>
  <xdr:twoCellAnchor>
    <xdr:from>
      <xdr:col>18</xdr:col>
      <xdr:colOff>240553</xdr:colOff>
      <xdr:row>26</xdr:row>
      <xdr:rowOff>173337</xdr:rowOff>
    </xdr:from>
    <xdr:to>
      <xdr:col>20</xdr:col>
      <xdr:colOff>239051</xdr:colOff>
      <xdr:row>28</xdr:row>
      <xdr:rowOff>82181</xdr:rowOff>
    </xdr:to>
    <xdr:sp macro="" textlink="Pivot!U13">
      <xdr:nvSpPr>
        <xdr:cNvPr id="41" name="Rectangle 40">
          <a:extLst>
            <a:ext uri="{FF2B5EF4-FFF2-40B4-BE49-F238E27FC236}">
              <a16:creationId xmlns:a16="http://schemas.microsoft.com/office/drawing/2014/main" id="{11F8351F-7F1E-4BBD-AC8B-AE39562C2832}"/>
            </a:ext>
          </a:extLst>
        </xdr:cNvPr>
        <xdr:cNvSpPr/>
      </xdr:nvSpPr>
      <xdr:spPr>
        <a:xfrm>
          <a:off x="11267141" y="5029219"/>
          <a:ext cx="1223675" cy="2823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6911AA4-01A9-4263-91DC-3287F622E02A}" type="TxLink">
            <a:rPr lang="en-US" sz="1400" b="1" i="0" u="none" strike="noStrike">
              <a:solidFill>
                <a:schemeClr val="bg1"/>
              </a:solidFill>
              <a:latin typeface="Aptos Narrow"/>
            </a:rPr>
            <a:t>₹1,141,425</a:t>
          </a:fld>
          <a:endParaRPr lang="en-US" sz="4800" b="1">
            <a:solidFill>
              <a:schemeClr val="bg1"/>
            </a:solidFill>
          </a:endParaRPr>
        </a:p>
      </xdr:txBody>
    </xdr:sp>
    <xdr:clientData/>
  </xdr:twoCellAnchor>
  <xdr:twoCellAnchor>
    <xdr:from>
      <xdr:col>18</xdr:col>
      <xdr:colOff>254014</xdr:colOff>
      <xdr:row>28</xdr:row>
      <xdr:rowOff>74706</xdr:rowOff>
    </xdr:from>
    <xdr:to>
      <xdr:col>19</xdr:col>
      <xdr:colOff>505022</xdr:colOff>
      <xdr:row>29</xdr:row>
      <xdr:rowOff>183771</xdr:rowOff>
    </xdr:to>
    <xdr:sp macro="" textlink="Pivot!U14">
      <xdr:nvSpPr>
        <xdr:cNvPr id="42" name="Rectangle 41">
          <a:extLst>
            <a:ext uri="{FF2B5EF4-FFF2-40B4-BE49-F238E27FC236}">
              <a16:creationId xmlns:a16="http://schemas.microsoft.com/office/drawing/2014/main" id="{8E425641-6782-4E7D-99A5-5C0E73B1D41C}"/>
            </a:ext>
          </a:extLst>
        </xdr:cNvPr>
        <xdr:cNvSpPr/>
      </xdr:nvSpPr>
      <xdr:spPr>
        <a:xfrm>
          <a:off x="11280602" y="5304118"/>
          <a:ext cx="863596" cy="295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B66C3B-9CC2-4396-AFBA-D29A46FAC0D8}" type="TxLink">
            <a:rPr lang="en-US" sz="1400" b="1" i="0" u="none" strike="noStrike">
              <a:solidFill>
                <a:schemeClr val="bg1"/>
              </a:solidFill>
              <a:latin typeface="Aptos Narrow"/>
            </a:rPr>
            <a:t>₹1,258,879</a:t>
          </a:fld>
          <a:endParaRPr lang="en-US" sz="4000" b="1">
            <a:solidFill>
              <a:schemeClr val="bg1"/>
            </a:solidFill>
          </a:endParaRPr>
        </a:p>
      </xdr:txBody>
    </xdr:sp>
    <xdr:clientData/>
  </xdr:twoCellAnchor>
  <xdr:twoCellAnchor>
    <xdr:from>
      <xdr:col>18</xdr:col>
      <xdr:colOff>257005</xdr:colOff>
      <xdr:row>29</xdr:row>
      <xdr:rowOff>159872</xdr:rowOff>
    </xdr:from>
    <xdr:to>
      <xdr:col>19</xdr:col>
      <xdr:colOff>508013</xdr:colOff>
      <xdr:row>31</xdr:row>
      <xdr:rowOff>82171</xdr:rowOff>
    </xdr:to>
    <xdr:sp macro="" textlink="Pivot!U15">
      <xdr:nvSpPr>
        <xdr:cNvPr id="43" name="Rectangle 42">
          <a:extLst>
            <a:ext uri="{FF2B5EF4-FFF2-40B4-BE49-F238E27FC236}">
              <a16:creationId xmlns:a16="http://schemas.microsoft.com/office/drawing/2014/main" id="{872F7ADB-6E24-44FD-B73C-F135D83722C5}"/>
            </a:ext>
          </a:extLst>
        </xdr:cNvPr>
        <xdr:cNvSpPr/>
      </xdr:nvSpPr>
      <xdr:spPr>
        <a:xfrm>
          <a:off x="11283593" y="5576048"/>
          <a:ext cx="863596" cy="295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1217DB-5ECB-4FA5-BCFF-A3244A2DEB65}" type="TxLink">
            <a:rPr lang="en-US" sz="1400" b="1" i="0" u="none" strike="noStrike">
              <a:solidFill>
                <a:schemeClr val="bg1"/>
              </a:solidFill>
              <a:latin typeface="Aptos Narrow"/>
            </a:rPr>
            <a:t>₹1,573,579</a:t>
          </a:fld>
          <a:endParaRPr lang="en-US" sz="4000" b="1">
            <a:solidFill>
              <a:schemeClr val="bg1"/>
            </a:solidFill>
          </a:endParaRPr>
        </a:p>
      </xdr:txBody>
    </xdr:sp>
    <xdr:clientData/>
  </xdr:twoCellAnchor>
  <xdr:twoCellAnchor>
    <xdr:from>
      <xdr:col>18</xdr:col>
      <xdr:colOff>267465</xdr:colOff>
      <xdr:row>31</xdr:row>
      <xdr:rowOff>73211</xdr:rowOff>
    </xdr:from>
    <xdr:to>
      <xdr:col>19</xdr:col>
      <xdr:colOff>518473</xdr:colOff>
      <xdr:row>32</xdr:row>
      <xdr:rowOff>182275</xdr:rowOff>
    </xdr:to>
    <xdr:sp macro="" textlink="Pivot!U16">
      <xdr:nvSpPr>
        <xdr:cNvPr id="44" name="Rectangle 43">
          <a:extLst>
            <a:ext uri="{FF2B5EF4-FFF2-40B4-BE49-F238E27FC236}">
              <a16:creationId xmlns:a16="http://schemas.microsoft.com/office/drawing/2014/main" id="{0A3F2575-562B-4947-A87B-412A58813413}"/>
            </a:ext>
          </a:extLst>
        </xdr:cNvPr>
        <xdr:cNvSpPr/>
      </xdr:nvSpPr>
      <xdr:spPr>
        <a:xfrm>
          <a:off x="11294053" y="5862917"/>
          <a:ext cx="863596" cy="295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FB441CE-6BCE-4807-9300-95445A7AB028}" type="TxLink">
            <a:rPr lang="en-US" sz="1400" b="1" i="0" u="none" strike="noStrike">
              <a:solidFill>
                <a:schemeClr val="bg1"/>
              </a:solidFill>
              <a:latin typeface="Aptos Narrow"/>
            </a:rPr>
            <a:t>₹1,369,188</a:t>
          </a:fld>
          <a:endParaRPr lang="en-US" sz="4000" b="1">
            <a:solidFill>
              <a:schemeClr val="bg1"/>
            </a:solidFill>
          </a:endParaRPr>
        </a:p>
      </xdr:txBody>
    </xdr:sp>
    <xdr:clientData/>
  </xdr:twoCellAnchor>
  <xdr:twoCellAnchor>
    <xdr:from>
      <xdr:col>14</xdr:col>
      <xdr:colOff>379505</xdr:colOff>
      <xdr:row>23</xdr:row>
      <xdr:rowOff>177795</xdr:rowOff>
    </xdr:from>
    <xdr:to>
      <xdr:col>18</xdr:col>
      <xdr:colOff>231587</xdr:colOff>
      <xdr:row>25</xdr:row>
      <xdr:rowOff>119527</xdr:rowOff>
    </xdr:to>
    <xdr:sp macro="" textlink="Pivot!T12">
      <xdr:nvSpPr>
        <xdr:cNvPr id="45" name="Rectangle 44">
          <a:extLst>
            <a:ext uri="{FF2B5EF4-FFF2-40B4-BE49-F238E27FC236}">
              <a16:creationId xmlns:a16="http://schemas.microsoft.com/office/drawing/2014/main" id="{C785559A-E24F-4E29-9819-E49A39D81117}"/>
            </a:ext>
          </a:extLst>
        </xdr:cNvPr>
        <xdr:cNvSpPr/>
      </xdr:nvSpPr>
      <xdr:spPr>
        <a:xfrm>
          <a:off x="8955740" y="4473383"/>
          <a:ext cx="2302435" cy="3152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Total</a:t>
          </a:r>
          <a:r>
            <a:rPr lang="en-US" sz="1800" b="1" baseline="0">
              <a:solidFill>
                <a:schemeClr val="bg1"/>
              </a:solidFill>
            </a:rPr>
            <a:t> Salaries</a:t>
          </a:r>
          <a:endParaRPr lang="en-US" sz="1800" b="1">
            <a:solidFill>
              <a:schemeClr val="bg1"/>
            </a:solidFill>
          </a:endParaRPr>
        </a:p>
      </xdr:txBody>
    </xdr:sp>
    <xdr:clientData/>
  </xdr:twoCellAnchor>
  <xdr:twoCellAnchor>
    <xdr:from>
      <xdr:col>18</xdr:col>
      <xdr:colOff>7471</xdr:colOff>
      <xdr:row>24</xdr:row>
      <xdr:rowOff>29882</xdr:rowOff>
    </xdr:from>
    <xdr:to>
      <xdr:col>20</xdr:col>
      <xdr:colOff>44824</xdr:colOff>
      <xdr:row>25</xdr:row>
      <xdr:rowOff>104589</xdr:rowOff>
    </xdr:to>
    <xdr:sp macro="" textlink="Pivot!$U$9">
      <xdr:nvSpPr>
        <xdr:cNvPr id="46" name="Rectangle: Rounded Corners 45">
          <a:extLst>
            <a:ext uri="{FF2B5EF4-FFF2-40B4-BE49-F238E27FC236}">
              <a16:creationId xmlns:a16="http://schemas.microsoft.com/office/drawing/2014/main" id="{9608CC5F-8104-0CD3-E968-27C45B0C4706}"/>
            </a:ext>
          </a:extLst>
        </xdr:cNvPr>
        <xdr:cNvSpPr/>
      </xdr:nvSpPr>
      <xdr:spPr>
        <a:xfrm>
          <a:off x="11034059" y="4512235"/>
          <a:ext cx="1262530" cy="261472"/>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0F9509-A83C-4AF0-AA50-8C1898A0462A}" type="TxLink">
            <a:rPr lang="en-US" sz="1600" b="1" i="0" u="none" strike="noStrike">
              <a:solidFill>
                <a:srgbClr val="000000"/>
              </a:solidFill>
              <a:latin typeface="Aptos Narrow"/>
            </a:rPr>
            <a:pPr algn="ctr"/>
            <a:t> ₹6,334,341 </a:t>
          </a:fld>
          <a:endParaRPr lang="en-US" sz="2000" b="1"/>
        </a:p>
      </xdr:txBody>
    </xdr:sp>
    <xdr:clientData/>
  </xdr:twoCellAnchor>
  <xdr:twoCellAnchor>
    <xdr:from>
      <xdr:col>21</xdr:col>
      <xdr:colOff>254030</xdr:colOff>
      <xdr:row>10</xdr:row>
      <xdr:rowOff>97110</xdr:rowOff>
    </xdr:from>
    <xdr:to>
      <xdr:col>25</xdr:col>
      <xdr:colOff>28408</xdr:colOff>
      <xdr:row>12</xdr:row>
      <xdr:rowOff>46314</xdr:rowOff>
    </xdr:to>
    <xdr:sp macro="" textlink="">
      <xdr:nvSpPr>
        <xdr:cNvPr id="47" name="Rectangle 46">
          <a:extLst>
            <a:ext uri="{FF2B5EF4-FFF2-40B4-BE49-F238E27FC236}">
              <a16:creationId xmlns:a16="http://schemas.microsoft.com/office/drawing/2014/main" id="{97EA85D3-96CC-4040-A8A0-0FA60C0D7BF3}"/>
            </a:ext>
          </a:extLst>
        </xdr:cNvPr>
        <xdr:cNvSpPr/>
      </xdr:nvSpPr>
      <xdr:spPr>
        <a:xfrm>
          <a:off x="13118383" y="1964757"/>
          <a:ext cx="2224731"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Regions</a:t>
          </a:r>
          <a:endParaRPr lang="en-US" sz="1100" b="1">
            <a:solidFill>
              <a:srgbClr val="FF0000"/>
            </a:solidFill>
          </a:endParaRPr>
        </a:p>
      </xdr:txBody>
    </xdr:sp>
    <xdr:clientData/>
  </xdr:twoCellAnchor>
  <xdr:twoCellAnchor>
    <xdr:from>
      <xdr:col>21</xdr:col>
      <xdr:colOff>192741</xdr:colOff>
      <xdr:row>10</xdr:row>
      <xdr:rowOff>185263</xdr:rowOff>
    </xdr:from>
    <xdr:to>
      <xdr:col>21</xdr:col>
      <xdr:colOff>334686</xdr:colOff>
      <xdr:row>11</xdr:row>
      <xdr:rowOff>140448</xdr:rowOff>
    </xdr:to>
    <xdr:sp macro="" textlink="">
      <xdr:nvSpPr>
        <xdr:cNvPr id="48" name="Oval 47">
          <a:extLst>
            <a:ext uri="{FF2B5EF4-FFF2-40B4-BE49-F238E27FC236}">
              <a16:creationId xmlns:a16="http://schemas.microsoft.com/office/drawing/2014/main" id="{80080ED3-DA57-44C6-A95B-0A008BF1C2F6}"/>
            </a:ext>
          </a:extLst>
        </xdr:cNvPr>
        <xdr:cNvSpPr/>
      </xdr:nvSpPr>
      <xdr:spPr>
        <a:xfrm>
          <a:off x="13057094" y="2052910"/>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21</xdr:col>
      <xdr:colOff>107574</xdr:colOff>
      <xdr:row>12</xdr:row>
      <xdr:rowOff>44824</xdr:rowOff>
    </xdr:from>
    <xdr:to>
      <xdr:col>25</xdr:col>
      <xdr:colOff>410882</xdr:colOff>
      <xdr:row>21</xdr:row>
      <xdr:rowOff>141940</xdr:rowOff>
    </xdr:to>
    <xdr:graphicFrame macro="">
      <xdr:nvGraphicFramePr>
        <xdr:cNvPr id="54" name="Chart 53">
          <a:extLst>
            <a:ext uri="{FF2B5EF4-FFF2-40B4-BE49-F238E27FC236}">
              <a16:creationId xmlns:a16="http://schemas.microsoft.com/office/drawing/2014/main" id="{8BE1D83A-F69C-402F-A75A-169138E96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240557</xdr:colOff>
      <xdr:row>12</xdr:row>
      <xdr:rowOff>1502</xdr:rowOff>
    </xdr:from>
    <xdr:to>
      <xdr:col>25</xdr:col>
      <xdr:colOff>182283</xdr:colOff>
      <xdr:row>13</xdr:row>
      <xdr:rowOff>144928</xdr:rowOff>
    </xdr:to>
    <xdr:sp macro="" textlink="Pivot!T12">
      <xdr:nvSpPr>
        <xdr:cNvPr id="57" name="Rectangle 56">
          <a:extLst>
            <a:ext uri="{FF2B5EF4-FFF2-40B4-BE49-F238E27FC236}">
              <a16:creationId xmlns:a16="http://schemas.microsoft.com/office/drawing/2014/main" id="{233E5022-FB4C-429E-8F23-353808C49FA0}"/>
            </a:ext>
          </a:extLst>
        </xdr:cNvPr>
        <xdr:cNvSpPr/>
      </xdr:nvSpPr>
      <xdr:spPr>
        <a:xfrm>
          <a:off x="13104910" y="2242678"/>
          <a:ext cx="2392079" cy="3301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bg1"/>
              </a:solidFill>
            </a:rPr>
            <a:t>Employees per Region </a:t>
          </a:r>
          <a:endParaRPr lang="en-US" sz="1200" b="1">
            <a:solidFill>
              <a:schemeClr val="bg1"/>
            </a:solidFill>
          </a:endParaRPr>
        </a:p>
      </xdr:txBody>
    </xdr:sp>
    <xdr:clientData/>
  </xdr:twoCellAnchor>
  <xdr:twoCellAnchor>
    <xdr:from>
      <xdr:col>20</xdr:col>
      <xdr:colOff>436292</xdr:colOff>
      <xdr:row>21</xdr:row>
      <xdr:rowOff>182270</xdr:rowOff>
    </xdr:from>
    <xdr:to>
      <xdr:col>25</xdr:col>
      <xdr:colOff>194235</xdr:colOff>
      <xdr:row>23</xdr:row>
      <xdr:rowOff>131474</xdr:rowOff>
    </xdr:to>
    <xdr:sp macro="" textlink="">
      <xdr:nvSpPr>
        <xdr:cNvPr id="60" name="Rectangle 59">
          <a:extLst>
            <a:ext uri="{FF2B5EF4-FFF2-40B4-BE49-F238E27FC236}">
              <a16:creationId xmlns:a16="http://schemas.microsoft.com/office/drawing/2014/main" id="{3A47823C-3B91-4208-9ED1-F2B13C4D2E8F}"/>
            </a:ext>
          </a:extLst>
        </xdr:cNvPr>
        <xdr:cNvSpPr/>
      </xdr:nvSpPr>
      <xdr:spPr>
        <a:xfrm>
          <a:off x="12688057" y="4104329"/>
          <a:ext cx="2820884" cy="322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Employment</a:t>
          </a:r>
          <a:r>
            <a:rPr lang="en-US" sz="1600" b="1" baseline="0">
              <a:solidFill>
                <a:srgbClr val="FF0000"/>
              </a:solidFill>
            </a:rPr>
            <a:t> Status Breakdown</a:t>
          </a:r>
          <a:endParaRPr lang="en-US" sz="1100" b="1">
            <a:solidFill>
              <a:srgbClr val="FF0000"/>
            </a:solidFill>
          </a:endParaRPr>
        </a:p>
      </xdr:txBody>
    </xdr:sp>
    <xdr:clientData/>
  </xdr:twoCellAnchor>
  <xdr:twoCellAnchor>
    <xdr:from>
      <xdr:col>20</xdr:col>
      <xdr:colOff>352599</xdr:colOff>
      <xdr:row>22</xdr:row>
      <xdr:rowOff>98619</xdr:rowOff>
    </xdr:from>
    <xdr:to>
      <xdr:col>20</xdr:col>
      <xdr:colOff>494544</xdr:colOff>
      <xdr:row>23</xdr:row>
      <xdr:rowOff>53805</xdr:rowOff>
    </xdr:to>
    <xdr:sp macro="" textlink="">
      <xdr:nvSpPr>
        <xdr:cNvPr id="63" name="Oval 62">
          <a:extLst>
            <a:ext uri="{FF2B5EF4-FFF2-40B4-BE49-F238E27FC236}">
              <a16:creationId xmlns:a16="http://schemas.microsoft.com/office/drawing/2014/main" id="{128F4B4F-CB6C-49B4-A430-6561364CCFC5}"/>
            </a:ext>
          </a:extLst>
        </xdr:cNvPr>
        <xdr:cNvSpPr/>
      </xdr:nvSpPr>
      <xdr:spPr>
        <a:xfrm>
          <a:off x="12604364" y="4207443"/>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20</xdr:col>
      <xdr:colOff>97125</xdr:colOff>
      <xdr:row>22</xdr:row>
      <xdr:rowOff>59762</xdr:rowOff>
    </xdr:from>
    <xdr:to>
      <xdr:col>23</xdr:col>
      <xdr:colOff>67236</xdr:colOff>
      <xdr:row>29</xdr:row>
      <xdr:rowOff>59765</xdr:rowOff>
    </xdr:to>
    <xdr:graphicFrame macro="">
      <xdr:nvGraphicFramePr>
        <xdr:cNvPr id="65" name="Chart 64">
          <a:extLst>
            <a:ext uri="{FF2B5EF4-FFF2-40B4-BE49-F238E27FC236}">
              <a16:creationId xmlns:a16="http://schemas.microsoft.com/office/drawing/2014/main" id="{C6C68F4A-5A0F-46CD-93DE-E968DEC0D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419855</xdr:colOff>
      <xdr:row>28</xdr:row>
      <xdr:rowOff>91139</xdr:rowOff>
    </xdr:from>
    <xdr:to>
      <xdr:col>22</xdr:col>
      <xdr:colOff>478121</xdr:colOff>
      <xdr:row>33</xdr:row>
      <xdr:rowOff>7474</xdr:rowOff>
    </xdr:to>
    <xdr:sp macro="" textlink="">
      <xdr:nvSpPr>
        <xdr:cNvPr id="69" name="Rectangle 68">
          <a:extLst>
            <a:ext uri="{FF2B5EF4-FFF2-40B4-BE49-F238E27FC236}">
              <a16:creationId xmlns:a16="http://schemas.microsoft.com/office/drawing/2014/main" id="{F374F741-508C-41D5-84FB-64C3E97803E3}"/>
            </a:ext>
          </a:extLst>
        </xdr:cNvPr>
        <xdr:cNvSpPr/>
      </xdr:nvSpPr>
      <xdr:spPr>
        <a:xfrm>
          <a:off x="12671620" y="5320551"/>
          <a:ext cx="1283442" cy="850158"/>
        </a:xfrm>
        <a:prstGeom prst="rect">
          <a:avLst/>
        </a:prstGeom>
        <a:solidFill>
          <a:schemeClr val="tx1">
            <a:lumMod val="85000"/>
            <a:lumOff val="1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527425</xdr:colOff>
      <xdr:row>23</xdr:row>
      <xdr:rowOff>101600</xdr:rowOff>
    </xdr:from>
    <xdr:to>
      <xdr:col>24</xdr:col>
      <xdr:colOff>585690</xdr:colOff>
      <xdr:row>28</xdr:row>
      <xdr:rowOff>17934</xdr:rowOff>
    </xdr:to>
    <xdr:sp macro="" textlink="">
      <xdr:nvSpPr>
        <xdr:cNvPr id="77" name="Rectangle 76">
          <a:extLst>
            <a:ext uri="{FF2B5EF4-FFF2-40B4-BE49-F238E27FC236}">
              <a16:creationId xmlns:a16="http://schemas.microsoft.com/office/drawing/2014/main" id="{278F3E8C-1AF4-4E5A-B413-D9AE1E428A23}"/>
            </a:ext>
          </a:extLst>
        </xdr:cNvPr>
        <xdr:cNvSpPr/>
      </xdr:nvSpPr>
      <xdr:spPr>
        <a:xfrm>
          <a:off x="14004366" y="4397188"/>
          <a:ext cx="1283442" cy="850158"/>
        </a:xfrm>
        <a:prstGeom prst="rect">
          <a:avLst/>
        </a:prstGeom>
        <a:solidFill>
          <a:schemeClr val="tx1">
            <a:lumMod val="85000"/>
            <a:lumOff val="1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542375</xdr:colOff>
      <xdr:row>28</xdr:row>
      <xdr:rowOff>86655</xdr:rowOff>
    </xdr:from>
    <xdr:to>
      <xdr:col>24</xdr:col>
      <xdr:colOff>600640</xdr:colOff>
      <xdr:row>33</xdr:row>
      <xdr:rowOff>2990</xdr:rowOff>
    </xdr:to>
    <xdr:sp macro="" textlink="">
      <xdr:nvSpPr>
        <xdr:cNvPr id="78" name="Rectangle 77">
          <a:extLst>
            <a:ext uri="{FF2B5EF4-FFF2-40B4-BE49-F238E27FC236}">
              <a16:creationId xmlns:a16="http://schemas.microsoft.com/office/drawing/2014/main" id="{3B188651-C840-4433-9A81-8D2954F95565}"/>
            </a:ext>
          </a:extLst>
        </xdr:cNvPr>
        <xdr:cNvSpPr/>
      </xdr:nvSpPr>
      <xdr:spPr>
        <a:xfrm>
          <a:off x="14019316" y="5316067"/>
          <a:ext cx="1283442" cy="850158"/>
        </a:xfrm>
        <a:prstGeom prst="rect">
          <a:avLst/>
        </a:prstGeom>
        <a:solidFill>
          <a:schemeClr val="tx1">
            <a:lumMod val="85000"/>
            <a:lumOff val="1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70236</xdr:colOff>
      <xdr:row>23</xdr:row>
      <xdr:rowOff>92637</xdr:rowOff>
    </xdr:from>
    <xdr:to>
      <xdr:col>25</xdr:col>
      <xdr:colOff>353786</xdr:colOff>
      <xdr:row>28</xdr:row>
      <xdr:rowOff>163286</xdr:rowOff>
    </xdr:to>
    <xdr:sp macro="" textlink="">
      <xdr:nvSpPr>
        <xdr:cNvPr id="79" name="Rectangle 78">
          <a:extLst>
            <a:ext uri="{FF2B5EF4-FFF2-40B4-BE49-F238E27FC236}">
              <a16:creationId xmlns:a16="http://schemas.microsoft.com/office/drawing/2014/main" id="{199291A1-315B-4497-8353-C8CC18507F02}"/>
            </a:ext>
          </a:extLst>
        </xdr:cNvPr>
        <xdr:cNvSpPr/>
      </xdr:nvSpPr>
      <xdr:spPr>
        <a:xfrm>
          <a:off x="14049307" y="4265494"/>
          <a:ext cx="1499122" cy="9777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Part</a:t>
          </a:r>
          <a:r>
            <a:rPr lang="en-US" sz="1600" b="1" baseline="0">
              <a:solidFill>
                <a:schemeClr val="bg1"/>
              </a:solidFill>
            </a:rPr>
            <a:t> </a:t>
          </a:r>
        </a:p>
        <a:p>
          <a:pPr algn="l"/>
          <a:r>
            <a:rPr lang="en-US" sz="1600" b="1" baseline="0">
              <a:solidFill>
                <a:schemeClr val="bg1"/>
              </a:solidFill>
            </a:rPr>
            <a:t>Time Employees</a:t>
          </a:r>
          <a:endParaRPr lang="en-US" sz="1600" b="1">
            <a:solidFill>
              <a:schemeClr val="bg1"/>
            </a:solidFill>
          </a:endParaRPr>
        </a:p>
      </xdr:txBody>
    </xdr:sp>
    <xdr:clientData/>
  </xdr:twoCellAnchor>
  <xdr:twoCellAnchor>
    <xdr:from>
      <xdr:col>22</xdr:col>
      <xdr:colOff>599129</xdr:colOff>
      <xdr:row>23</xdr:row>
      <xdr:rowOff>173326</xdr:rowOff>
    </xdr:from>
    <xdr:to>
      <xdr:col>23</xdr:col>
      <xdr:colOff>128486</xdr:colOff>
      <xdr:row>24</xdr:row>
      <xdr:rowOff>128511</xdr:rowOff>
    </xdr:to>
    <xdr:sp macro="" textlink="">
      <xdr:nvSpPr>
        <xdr:cNvPr id="80" name="Oval 79">
          <a:extLst>
            <a:ext uri="{FF2B5EF4-FFF2-40B4-BE49-F238E27FC236}">
              <a16:creationId xmlns:a16="http://schemas.microsoft.com/office/drawing/2014/main" id="{C1FE61AA-EAF8-437B-A0DB-9FF6E50DAB40}"/>
            </a:ext>
          </a:extLst>
        </xdr:cNvPr>
        <xdr:cNvSpPr/>
      </xdr:nvSpPr>
      <xdr:spPr>
        <a:xfrm>
          <a:off x="14076070" y="4468914"/>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20</xdr:col>
      <xdr:colOff>493059</xdr:colOff>
      <xdr:row>28</xdr:row>
      <xdr:rowOff>156883</xdr:rowOff>
    </xdr:from>
    <xdr:to>
      <xdr:col>21</xdr:col>
      <xdr:colOff>22416</xdr:colOff>
      <xdr:row>29</xdr:row>
      <xdr:rowOff>112069</xdr:rowOff>
    </xdr:to>
    <xdr:sp macro="" textlink="">
      <xdr:nvSpPr>
        <xdr:cNvPr id="81" name="Oval 80">
          <a:extLst>
            <a:ext uri="{FF2B5EF4-FFF2-40B4-BE49-F238E27FC236}">
              <a16:creationId xmlns:a16="http://schemas.microsoft.com/office/drawing/2014/main" id="{C0E926E7-4DAE-42E0-B581-668DAD7FDC6B}"/>
            </a:ext>
          </a:extLst>
        </xdr:cNvPr>
        <xdr:cNvSpPr/>
      </xdr:nvSpPr>
      <xdr:spPr>
        <a:xfrm>
          <a:off x="12744824" y="5386295"/>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23</xdr:col>
      <xdr:colOff>537887</xdr:colOff>
      <xdr:row>23</xdr:row>
      <xdr:rowOff>104587</xdr:rowOff>
    </xdr:from>
    <xdr:to>
      <xdr:col>26</xdr:col>
      <xdr:colOff>479610</xdr:colOff>
      <xdr:row>26</xdr:row>
      <xdr:rowOff>135966</xdr:rowOff>
    </xdr:to>
    <xdr:sp macro="" textlink="Pivot!E15">
      <xdr:nvSpPr>
        <xdr:cNvPr id="86" name="Rectangle 85">
          <a:extLst>
            <a:ext uri="{FF2B5EF4-FFF2-40B4-BE49-F238E27FC236}">
              <a16:creationId xmlns:a16="http://schemas.microsoft.com/office/drawing/2014/main" id="{43E1AC64-4FE7-4487-A1AD-81F6AC073D48}"/>
            </a:ext>
          </a:extLst>
        </xdr:cNvPr>
        <xdr:cNvSpPr/>
      </xdr:nvSpPr>
      <xdr:spPr>
        <a:xfrm>
          <a:off x="14627416" y="4400175"/>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35BE2B-0F58-4A0D-8592-4BCF19D9B180}" type="TxLink">
            <a:rPr lang="en-US" sz="3600" b="1" i="0" u="none" strike="noStrike">
              <a:solidFill>
                <a:schemeClr val="bg1">
                  <a:lumMod val="95000"/>
                </a:schemeClr>
              </a:solidFill>
              <a:latin typeface="Aptos Narrow"/>
            </a:rPr>
            <a:pPr algn="l"/>
            <a:t>28</a:t>
          </a:fld>
          <a:endParaRPr lang="en-US" sz="41300" b="1" i="0" u="none" strike="noStrike">
            <a:solidFill>
              <a:schemeClr val="bg1">
                <a:lumMod val="95000"/>
              </a:schemeClr>
            </a:solidFill>
            <a:latin typeface="Aptos Narrow"/>
          </a:endParaRPr>
        </a:p>
      </xdr:txBody>
    </xdr:sp>
    <xdr:clientData/>
  </xdr:twoCellAnchor>
  <xdr:twoCellAnchor>
    <xdr:from>
      <xdr:col>20</xdr:col>
      <xdr:colOff>576565</xdr:colOff>
      <xdr:row>28</xdr:row>
      <xdr:rowOff>82646</xdr:rowOff>
    </xdr:from>
    <xdr:to>
      <xdr:col>22</xdr:col>
      <xdr:colOff>373531</xdr:colOff>
      <xdr:row>33</xdr:row>
      <xdr:rowOff>82182</xdr:rowOff>
    </xdr:to>
    <xdr:sp macro="" textlink="">
      <xdr:nvSpPr>
        <xdr:cNvPr id="97" name="Rectangle 96">
          <a:extLst>
            <a:ext uri="{FF2B5EF4-FFF2-40B4-BE49-F238E27FC236}">
              <a16:creationId xmlns:a16="http://schemas.microsoft.com/office/drawing/2014/main" id="{463890C8-CC88-49DC-894C-3721608A1B71}"/>
            </a:ext>
          </a:extLst>
        </xdr:cNvPr>
        <xdr:cNvSpPr/>
      </xdr:nvSpPr>
      <xdr:spPr>
        <a:xfrm>
          <a:off x="12828330" y="5312058"/>
          <a:ext cx="1022142" cy="9333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Full </a:t>
          </a:r>
        </a:p>
        <a:p>
          <a:pPr algn="l"/>
          <a:r>
            <a:rPr lang="en-US" sz="1600" b="1"/>
            <a:t>Time Employees</a:t>
          </a:r>
        </a:p>
      </xdr:txBody>
    </xdr:sp>
    <xdr:clientData/>
  </xdr:twoCellAnchor>
  <xdr:twoCellAnchor>
    <xdr:from>
      <xdr:col>21</xdr:col>
      <xdr:colOff>443764</xdr:colOff>
      <xdr:row>28</xdr:row>
      <xdr:rowOff>62759</xdr:rowOff>
    </xdr:from>
    <xdr:to>
      <xdr:col>24</xdr:col>
      <xdr:colOff>385487</xdr:colOff>
      <xdr:row>31</xdr:row>
      <xdr:rowOff>94138</xdr:rowOff>
    </xdr:to>
    <xdr:sp macro="" textlink="Pivot!E16">
      <xdr:nvSpPr>
        <xdr:cNvPr id="98" name="Rectangle 97">
          <a:extLst>
            <a:ext uri="{FF2B5EF4-FFF2-40B4-BE49-F238E27FC236}">
              <a16:creationId xmlns:a16="http://schemas.microsoft.com/office/drawing/2014/main" id="{078150CD-6D10-47B3-BAC8-DAD5637D0318}"/>
            </a:ext>
          </a:extLst>
        </xdr:cNvPr>
        <xdr:cNvSpPr/>
      </xdr:nvSpPr>
      <xdr:spPr>
        <a:xfrm>
          <a:off x="13308117" y="5292171"/>
          <a:ext cx="177948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10194BF-31E9-429D-9C1A-1F76774C1974}" type="TxLink">
            <a:rPr lang="en-US" sz="3600" b="1" i="0" u="none" strike="noStrike">
              <a:solidFill>
                <a:schemeClr val="bg1">
                  <a:lumMod val="95000"/>
                </a:schemeClr>
              </a:solidFill>
              <a:latin typeface="Aptos Narrow"/>
            </a:rPr>
            <a:pPr algn="l"/>
            <a:t>40</a:t>
          </a:fld>
          <a:endParaRPr lang="en-US" sz="41300" b="1" i="0" u="none" strike="noStrike">
            <a:solidFill>
              <a:schemeClr val="bg1">
                <a:lumMod val="95000"/>
              </a:schemeClr>
            </a:solidFill>
            <a:latin typeface="Aptos Narrow"/>
          </a:endParaRPr>
        </a:p>
      </xdr:txBody>
    </xdr:sp>
    <xdr:clientData/>
  </xdr:twoCellAnchor>
  <xdr:twoCellAnchor>
    <xdr:from>
      <xdr:col>22</xdr:col>
      <xdr:colOff>510984</xdr:colOff>
      <xdr:row>29</xdr:row>
      <xdr:rowOff>92638</xdr:rowOff>
    </xdr:from>
    <xdr:to>
      <xdr:col>24</xdr:col>
      <xdr:colOff>515470</xdr:colOff>
      <xdr:row>33</xdr:row>
      <xdr:rowOff>156883</xdr:rowOff>
    </xdr:to>
    <xdr:sp macro="" textlink="">
      <xdr:nvSpPr>
        <xdr:cNvPr id="99" name="Rectangle 98">
          <a:extLst>
            <a:ext uri="{FF2B5EF4-FFF2-40B4-BE49-F238E27FC236}">
              <a16:creationId xmlns:a16="http://schemas.microsoft.com/office/drawing/2014/main" id="{6E6B53EE-CF25-46F2-B772-076392E7A880}"/>
            </a:ext>
          </a:extLst>
        </xdr:cNvPr>
        <xdr:cNvSpPr/>
      </xdr:nvSpPr>
      <xdr:spPr>
        <a:xfrm>
          <a:off x="13987925" y="5508814"/>
          <a:ext cx="1229663" cy="8113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Contract</a:t>
          </a:r>
          <a:r>
            <a:rPr lang="en-US" sz="1600" b="1" baseline="0"/>
            <a:t> </a:t>
          </a:r>
        </a:p>
        <a:p>
          <a:pPr algn="l"/>
          <a:r>
            <a:rPr lang="en-US" sz="1600" b="1" baseline="0"/>
            <a:t>Employees</a:t>
          </a:r>
          <a:endParaRPr lang="en-US" sz="1600" b="1"/>
        </a:p>
      </xdr:txBody>
    </xdr:sp>
    <xdr:clientData/>
  </xdr:twoCellAnchor>
  <xdr:twoCellAnchor>
    <xdr:from>
      <xdr:col>22</xdr:col>
      <xdr:colOff>599145</xdr:colOff>
      <xdr:row>28</xdr:row>
      <xdr:rowOff>135980</xdr:rowOff>
    </xdr:from>
    <xdr:to>
      <xdr:col>23</xdr:col>
      <xdr:colOff>128502</xdr:colOff>
      <xdr:row>29</xdr:row>
      <xdr:rowOff>91166</xdr:rowOff>
    </xdr:to>
    <xdr:sp macro="" textlink="">
      <xdr:nvSpPr>
        <xdr:cNvPr id="100" name="Oval 99">
          <a:extLst>
            <a:ext uri="{FF2B5EF4-FFF2-40B4-BE49-F238E27FC236}">
              <a16:creationId xmlns:a16="http://schemas.microsoft.com/office/drawing/2014/main" id="{C0E1C363-840D-48FC-9A4A-09F94B02F653}"/>
            </a:ext>
          </a:extLst>
        </xdr:cNvPr>
        <xdr:cNvSpPr/>
      </xdr:nvSpPr>
      <xdr:spPr>
        <a:xfrm>
          <a:off x="14076086" y="5365392"/>
          <a:ext cx="141945" cy="1419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
            <a:solidFill>
              <a:schemeClr val="bg1"/>
            </a:solidFill>
          </a:endParaRPr>
        </a:p>
      </xdr:txBody>
    </xdr:sp>
    <xdr:clientData/>
  </xdr:twoCellAnchor>
  <xdr:twoCellAnchor>
    <xdr:from>
      <xdr:col>24</xdr:col>
      <xdr:colOff>32872</xdr:colOff>
      <xdr:row>28</xdr:row>
      <xdr:rowOff>2984</xdr:rowOff>
    </xdr:from>
    <xdr:to>
      <xdr:col>25</xdr:col>
      <xdr:colOff>149412</xdr:colOff>
      <xdr:row>31</xdr:row>
      <xdr:rowOff>34363</xdr:rowOff>
    </xdr:to>
    <xdr:sp macro="" textlink="Pivot!E17">
      <xdr:nvSpPr>
        <xdr:cNvPr id="101" name="Rectangle 100">
          <a:extLst>
            <a:ext uri="{FF2B5EF4-FFF2-40B4-BE49-F238E27FC236}">
              <a16:creationId xmlns:a16="http://schemas.microsoft.com/office/drawing/2014/main" id="{4444A3CB-296A-497C-87D1-51E8048D12AE}"/>
            </a:ext>
          </a:extLst>
        </xdr:cNvPr>
        <xdr:cNvSpPr/>
      </xdr:nvSpPr>
      <xdr:spPr>
        <a:xfrm>
          <a:off x="14734990" y="5232396"/>
          <a:ext cx="729128" cy="591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6EB20D9-F92C-49A1-A059-1DE3FEF12876}" type="TxLink">
            <a:rPr lang="en-US" sz="3600" b="1" i="0" u="none" strike="noStrike">
              <a:solidFill>
                <a:schemeClr val="bg1">
                  <a:lumMod val="95000"/>
                </a:schemeClr>
              </a:solidFill>
              <a:latin typeface="Aptos Narrow"/>
            </a:rPr>
            <a:pPr algn="l"/>
            <a:t>31</a:t>
          </a:fld>
          <a:endParaRPr lang="en-US" sz="41300" b="1" i="0" u="none" strike="noStrike">
            <a:solidFill>
              <a:schemeClr val="bg1">
                <a:lumMod val="95000"/>
              </a:schemeClr>
            </a:solidFill>
            <a:latin typeface="Aptos Narrow"/>
          </a:endParaRPr>
        </a:p>
      </xdr:txBody>
    </xdr:sp>
    <xdr:clientData/>
  </xdr:twoCellAnchor>
  <xdr:twoCellAnchor editAs="oneCell">
    <xdr:from>
      <xdr:col>13</xdr:col>
      <xdr:colOff>261927</xdr:colOff>
      <xdr:row>3</xdr:row>
      <xdr:rowOff>167741</xdr:rowOff>
    </xdr:from>
    <xdr:to>
      <xdr:col>16</xdr:col>
      <xdr:colOff>265102</xdr:colOff>
      <xdr:row>6</xdr:row>
      <xdr:rowOff>40937</xdr:rowOff>
    </xdr:to>
    <mc:AlternateContent xmlns:mc="http://schemas.openxmlformats.org/markup-compatibility/2006">
      <mc:Choice xmlns:a14="http://schemas.microsoft.com/office/drawing/2010/main" Requires="a14">
        <xdr:graphicFrame macro="">
          <xdr:nvGraphicFramePr>
            <xdr:cNvPr id="102" name="Gender">
              <a:extLst>
                <a:ext uri="{FF2B5EF4-FFF2-40B4-BE49-F238E27FC236}">
                  <a16:creationId xmlns:a16="http://schemas.microsoft.com/office/drawing/2014/main" id="{F7FA8EE2-D86D-40F9-B299-8596A42FD4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68124" y="731192"/>
              <a:ext cx="1827682" cy="436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235651</xdr:colOff>
      <xdr:row>3</xdr:row>
      <xdr:rowOff>180198</xdr:rowOff>
    </xdr:from>
    <xdr:to>
      <xdr:col>23</xdr:col>
      <xdr:colOff>173914</xdr:colOff>
      <xdr:row>6</xdr:row>
      <xdr:rowOff>71032</xdr:rowOff>
    </xdr:to>
    <mc:AlternateContent xmlns:mc="http://schemas.openxmlformats.org/markup-compatibility/2006">
      <mc:Choice xmlns:a14="http://schemas.microsoft.com/office/drawing/2010/main" Requires="a14">
        <xdr:graphicFrame macro="">
          <xdr:nvGraphicFramePr>
            <xdr:cNvPr id="103" name="Region">
              <a:extLst>
                <a:ext uri="{FF2B5EF4-FFF2-40B4-BE49-F238E27FC236}">
                  <a16:creationId xmlns:a16="http://schemas.microsoft.com/office/drawing/2014/main" id="{756154A7-E9DF-4B4F-9808-E457DF6561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66355" y="743649"/>
              <a:ext cx="4195446" cy="454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379217</xdr:colOff>
      <xdr:row>3</xdr:row>
      <xdr:rowOff>176389</xdr:rowOff>
    </xdr:from>
    <xdr:to>
      <xdr:col>13</xdr:col>
      <xdr:colOff>311508</xdr:colOff>
      <xdr:row>6</xdr:row>
      <xdr:rowOff>44099</xdr:rowOff>
    </xdr:to>
    <mc:AlternateContent xmlns:mc="http://schemas.openxmlformats.org/markup-compatibility/2006">
      <mc:Choice xmlns:a14="http://schemas.microsoft.com/office/drawing/2010/main" Requires="a14">
        <xdr:graphicFrame macro="">
          <xdr:nvGraphicFramePr>
            <xdr:cNvPr id="104" name="Department">
              <a:extLst>
                <a:ext uri="{FF2B5EF4-FFF2-40B4-BE49-F238E27FC236}">
                  <a16:creationId xmlns:a16="http://schemas.microsoft.com/office/drawing/2014/main" id="{B0E15097-5828-4248-A1B4-F4A1600E86B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420062" y="739840"/>
              <a:ext cx="4797643" cy="43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505189</xdr:colOff>
      <xdr:row>3</xdr:row>
      <xdr:rowOff>36887</xdr:rowOff>
    </xdr:from>
    <xdr:to>
      <xdr:col>24</xdr:col>
      <xdr:colOff>589057</xdr:colOff>
      <xdr:row>7</xdr:row>
      <xdr:rowOff>12925</xdr:rowOff>
    </xdr:to>
    <xdr:pic macro="[0]!Refresh_Dashboard">
      <xdr:nvPicPr>
        <xdr:cNvPr id="106" name="Graphic 105" descr="Arrow circle with solid fill">
          <a:extLst>
            <a:ext uri="{FF2B5EF4-FFF2-40B4-BE49-F238E27FC236}">
              <a16:creationId xmlns:a16="http://schemas.microsoft.com/office/drawing/2014/main" id="{53CC770F-2EA6-3FA1-0862-4AD2051F538F}"/>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535189" y="591887"/>
          <a:ext cx="693868" cy="716038"/>
        </a:xfrm>
        <a:prstGeom prst="rect">
          <a:avLst/>
        </a:prstGeom>
      </xdr:spPr>
    </xdr:pic>
    <xdr:clientData/>
  </xdr:twoCellAnchor>
  <xdr:twoCellAnchor editAs="oneCell">
    <xdr:from>
      <xdr:col>2</xdr:col>
      <xdr:colOff>469727</xdr:colOff>
      <xdr:row>1</xdr:row>
      <xdr:rowOff>130480</xdr:rowOff>
    </xdr:from>
    <xdr:to>
      <xdr:col>5</xdr:col>
      <xdr:colOff>182672</xdr:colOff>
      <xdr:row>6</xdr:row>
      <xdr:rowOff>52193</xdr:rowOff>
    </xdr:to>
    <xdr:pic>
      <xdr:nvPicPr>
        <xdr:cNvPr id="108" name="Picture 107">
          <a:extLst>
            <a:ext uri="{FF2B5EF4-FFF2-40B4-BE49-F238E27FC236}">
              <a16:creationId xmlns:a16="http://schemas.microsoft.com/office/drawing/2014/main" id="{63AB1D9D-18E6-D87B-5D80-1F2D6B8719B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87535" y="313151"/>
          <a:ext cx="1539658" cy="83506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 refreshedDate="46291.374261805555" createdVersion="8" refreshedVersion="8" minRefreshableVersion="3" recordCount="100" xr:uid="{0AF40FC6-A1D5-44AA-BCFD-6DB5B5775E9D}">
  <cacheSource type="worksheet">
    <worksheetSource name="Table1"/>
  </cacheSource>
  <cacheFields count="21">
    <cacheField name="Employee ID" numFmtId="0">
      <sharedItems containsSemiMixedTypes="0" containsString="0" containsNumber="1" containsInteger="1" minValue="10001" maxValue="10100"/>
    </cacheField>
    <cacheField name="Full Name" numFmtId="0">
      <sharedItems containsBlank="1" count="91">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m/>
        <s v="Henry Taylor"/>
        <s v="Grace Lewis"/>
        <s v="Ava King"/>
        <s v="Sophia Thomas"/>
        <s v="Grace Young"/>
        <s v="Mason Walker"/>
        <s v="Henry Wilson"/>
        <s v="Noah Martin"/>
        <s v="Mason Wilson"/>
        <s v="Lucas Moore"/>
        <s v="Mason Hall"/>
        <s v="Noah Walker"/>
        <s v="Noah Moore"/>
        <s v="Isabella Clark"/>
        <s v="Henry Johnson"/>
        <s v="Mia Lee"/>
        <s v="Ethan King"/>
        <s v="Olivia Brown"/>
        <s v="Liam King"/>
        <s v="Isabella Thomas"/>
        <s v="Liam Young"/>
        <s v="Ava Martin"/>
        <s v="James Taylor"/>
        <s v="Aria Hall"/>
        <s v="Ava Johnson"/>
        <s v="Sophia King"/>
        <s v="Isabella Johnson"/>
        <s v="Henry Lee"/>
        <s v="Olivia Taylor"/>
        <s v="Liam Hall"/>
        <s v="Emma Taylor"/>
        <s v="Mason Johnson"/>
        <s v="Liam Moore"/>
        <s v="Noah Lee"/>
        <s v="Grace Lee"/>
        <s v="Grace Walker"/>
        <s v="Noah Lewis"/>
        <s v="Henry Moore"/>
        <s v="James Lee"/>
        <s v="Grace Clark"/>
        <s v="Ava Wilson"/>
        <s v="Isabella Smith"/>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12"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981973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01"/>
    <x v="0"/>
    <x v="0"/>
    <n v="25"/>
    <x v="0"/>
    <x v="0"/>
    <x v="0"/>
    <x v="0"/>
    <s v="Luis Reynolds"/>
    <s v="2019-03-15"/>
    <x v="0"/>
    <x v="0"/>
    <n v="53700"/>
    <s v="C"/>
    <n v="1463"/>
    <s v="Health"/>
    <n v="1"/>
    <n v="1"/>
    <s v="Leadership Training"/>
    <x v="0"/>
    <s v="Certified Professional"/>
  </r>
  <r>
    <n v="10002"/>
    <x v="1"/>
    <x v="1"/>
    <n v="27"/>
    <x v="1"/>
    <x v="1"/>
    <x v="1"/>
    <x v="1"/>
    <s v="Ashley Simmons MD"/>
    <s v="2022-12-20"/>
    <x v="0"/>
    <x v="1"/>
    <n v="91091"/>
    <s v="B"/>
    <n v="1024"/>
    <s v="None"/>
    <n v="19"/>
    <n v="4"/>
    <s v="Excel Workshop"/>
    <x v="0"/>
    <s v="Certified Professional"/>
  </r>
  <r>
    <n v="10003"/>
    <x v="2"/>
    <x v="1"/>
    <n v="34"/>
    <x v="1"/>
    <x v="2"/>
    <x v="2"/>
    <x v="2"/>
    <s v="Cassandra Duncan"/>
    <s v="2022-08-10"/>
    <x v="0"/>
    <x v="2"/>
    <n v="57538"/>
    <s v="D"/>
    <n v="1674"/>
    <s v="None"/>
    <n v="8"/>
    <n v="1"/>
    <s v="None"/>
    <x v="1"/>
    <s v="Advanced Training"/>
  </r>
  <r>
    <n v="10004"/>
    <x v="3"/>
    <x v="0"/>
    <n v="41"/>
    <x v="2"/>
    <x v="2"/>
    <x v="0"/>
    <x v="3"/>
    <s v="Janet Harris"/>
    <s v="2024-09-03"/>
    <x v="1"/>
    <x v="0"/>
    <n v="62993"/>
    <s v="A"/>
    <n v="2695"/>
    <s v="Health + Dental"/>
    <n v="0"/>
    <n v="2"/>
    <s v="None"/>
    <x v="2"/>
    <s v="None"/>
  </r>
  <r>
    <n v="10005"/>
    <x v="4"/>
    <x v="1"/>
    <n v="56"/>
    <x v="3"/>
    <x v="0"/>
    <x v="0"/>
    <x v="2"/>
    <s v="Mr. Frank Clay"/>
    <s v="2019-03-14"/>
    <x v="1"/>
    <x v="1"/>
    <n v="45773"/>
    <s v="A"/>
    <n v="8776"/>
    <s v="Health"/>
    <n v="16"/>
    <n v="4"/>
    <s v="Leadership Training"/>
    <x v="2"/>
    <s v="None"/>
  </r>
  <r>
    <n v="10006"/>
    <x v="5"/>
    <x v="0"/>
    <n v="28"/>
    <x v="1"/>
    <x v="2"/>
    <x v="3"/>
    <x v="2"/>
    <s v="Dorothy Price"/>
    <s v="2017-01-23"/>
    <x v="0"/>
    <x v="1"/>
    <n v="96249"/>
    <s v="C"/>
    <n v="4826"/>
    <s v="Health + Dental"/>
    <n v="7"/>
    <n v="3"/>
    <s v="Leadership Training"/>
    <x v="3"/>
    <s v="Certified Professional"/>
  </r>
  <r>
    <n v="10007"/>
    <x v="6"/>
    <x v="0"/>
    <n v="20"/>
    <x v="0"/>
    <x v="1"/>
    <x v="2"/>
    <x v="2"/>
    <s v="Michele Sexton"/>
    <s v="2024-08-17"/>
    <x v="0"/>
    <x v="2"/>
    <n v="61596"/>
    <s v="C"/>
    <n v="8818"/>
    <s v="Health + Dental"/>
    <n v="4"/>
    <n v="2"/>
    <s v="Leadership Training"/>
    <x v="1"/>
    <s v="None"/>
  </r>
  <r>
    <n v="10008"/>
    <x v="7"/>
    <x v="0"/>
    <n v="58"/>
    <x v="3"/>
    <x v="3"/>
    <x v="1"/>
    <x v="4"/>
    <s v="Richard Schmidt"/>
    <s v="2014-12-09"/>
    <x v="0"/>
    <x v="2"/>
    <n v="97869"/>
    <s v="A"/>
    <n v="1966"/>
    <s v="Health"/>
    <n v="10"/>
    <n v="1"/>
    <s v="Leadership Training"/>
    <x v="0"/>
    <s v="Certified Professional"/>
  </r>
  <r>
    <n v="10009"/>
    <x v="8"/>
    <x v="0"/>
    <n v="44"/>
    <x v="2"/>
    <x v="3"/>
    <x v="2"/>
    <x v="2"/>
    <s v="Teresa Pearson"/>
    <s v="2021-06-28"/>
    <x v="0"/>
    <x v="0"/>
    <n v="81235"/>
    <s v="A"/>
    <n v="6553"/>
    <s v="None"/>
    <n v="16"/>
    <n v="2"/>
    <s v="None"/>
    <x v="1"/>
    <s v="Certified Professional"/>
  </r>
  <r>
    <n v="10010"/>
    <x v="9"/>
    <x v="0"/>
    <n v="29"/>
    <x v="1"/>
    <x v="1"/>
    <x v="2"/>
    <x v="3"/>
    <s v="Laura Hart"/>
    <s v="2018-05-20"/>
    <x v="0"/>
    <x v="1"/>
    <n v="87852"/>
    <s v="A"/>
    <n v="4980"/>
    <s v="Health + Dental"/>
    <n v="19"/>
    <n v="3"/>
    <s v="None"/>
    <x v="2"/>
    <s v="Certified Professional"/>
  </r>
  <r>
    <n v="10011"/>
    <x v="10"/>
    <x v="1"/>
    <n v="23"/>
    <x v="0"/>
    <x v="3"/>
    <x v="0"/>
    <x v="2"/>
    <s v="Andrea May"/>
    <s v="2017-02-13"/>
    <x v="1"/>
    <x v="1"/>
    <n v="59359"/>
    <s v="A"/>
    <n v="9449"/>
    <s v="Health + Dental"/>
    <n v="20"/>
    <n v="3"/>
    <s v="None"/>
    <x v="1"/>
    <s v="None"/>
  </r>
  <r>
    <n v="10012"/>
    <x v="11"/>
    <x v="1"/>
    <n v="30"/>
    <x v="1"/>
    <x v="0"/>
    <x v="1"/>
    <x v="0"/>
    <s v="Casey Martin"/>
    <s v="2024-05-05"/>
    <x v="1"/>
    <x v="2"/>
    <n v="81225"/>
    <s v="D"/>
    <n v="6202"/>
    <s v="Health + Dental"/>
    <n v="2"/>
    <n v="2"/>
    <s v="Excel Workshop"/>
    <x v="4"/>
    <s v="Certified Professional"/>
  </r>
  <r>
    <n v="10013"/>
    <x v="12"/>
    <x v="0"/>
    <n v="49"/>
    <x v="4"/>
    <x v="1"/>
    <x v="0"/>
    <x v="0"/>
    <s v="Amber Allen"/>
    <s v="2022-04-19"/>
    <x v="1"/>
    <x v="0"/>
    <n v="32788"/>
    <s v="D"/>
    <n v="4396"/>
    <s v="Health"/>
    <n v="13"/>
    <n v="5"/>
    <s v="None"/>
    <x v="3"/>
    <s v="Advanced Training"/>
  </r>
  <r>
    <n v="10014"/>
    <x v="13"/>
    <x v="1"/>
    <n v="60"/>
    <x v="3"/>
    <x v="4"/>
    <x v="0"/>
    <x v="3"/>
    <s v="Adam Johnson"/>
    <s v="2015-11-16"/>
    <x v="1"/>
    <x v="2"/>
    <n v="70452"/>
    <s v="D"/>
    <n v="9911"/>
    <s v="None"/>
    <n v="2"/>
    <n v="1"/>
    <s v="None"/>
    <x v="3"/>
    <s v="Certified Professional"/>
  </r>
  <r>
    <n v="10015"/>
    <x v="14"/>
    <x v="1"/>
    <n v="46"/>
    <x v="4"/>
    <x v="1"/>
    <x v="3"/>
    <x v="0"/>
    <s v="Nicole Dominguez"/>
    <s v="2023-09-09"/>
    <x v="0"/>
    <x v="1"/>
    <n v="33045"/>
    <s v="B"/>
    <n v="1456"/>
    <s v="None"/>
    <n v="16"/>
    <n v="3"/>
    <s v="Excel Workshop"/>
    <x v="3"/>
    <s v="None"/>
  </r>
  <r>
    <n v="10016"/>
    <x v="15"/>
    <x v="1"/>
    <n v="57"/>
    <x v="3"/>
    <x v="2"/>
    <x v="3"/>
    <x v="1"/>
    <s v="Andrew Best"/>
    <s v="2017-12-12"/>
    <x v="2"/>
    <x v="2"/>
    <n v="96429"/>
    <s v="C"/>
    <n v="4740"/>
    <s v="None"/>
    <n v="8"/>
    <n v="1"/>
    <s v="Excel Workshop"/>
    <x v="2"/>
    <s v="None"/>
  </r>
  <r>
    <n v="10017"/>
    <x v="16"/>
    <x v="0"/>
    <n v="24"/>
    <x v="0"/>
    <x v="1"/>
    <x v="2"/>
    <x v="2"/>
    <s v="Gabrielle Rodriguez"/>
    <s v="2017-03-10"/>
    <x v="2"/>
    <x v="2"/>
    <n v="33183"/>
    <s v="A"/>
    <n v="8114"/>
    <s v="None"/>
    <n v="4"/>
    <n v="2"/>
    <s v="Excel Workshop"/>
    <x v="4"/>
    <s v="Advanced Training"/>
  </r>
  <r>
    <n v="10018"/>
    <x v="3"/>
    <x v="0"/>
    <n v="35"/>
    <x v="1"/>
    <x v="4"/>
    <x v="3"/>
    <x v="0"/>
    <s v="Allison Harvey"/>
    <s v="2019-03-04"/>
    <x v="2"/>
    <x v="0"/>
    <n v="75065"/>
    <s v="C"/>
    <n v="7123"/>
    <s v="None"/>
    <n v="20"/>
    <n v="2"/>
    <s v="None"/>
    <x v="0"/>
    <s v="Advanced Training"/>
  </r>
  <r>
    <n v="10019"/>
    <x v="17"/>
    <x v="1"/>
    <n v="41"/>
    <x v="2"/>
    <x v="1"/>
    <x v="1"/>
    <x v="4"/>
    <s v="Tristan Mejia"/>
    <s v="2022-11-20"/>
    <x v="0"/>
    <x v="2"/>
    <n v="32877"/>
    <s v="C"/>
    <n v="6432"/>
    <s v="Health"/>
    <n v="11"/>
    <n v="1"/>
    <s v="None"/>
    <x v="0"/>
    <s v="None"/>
  </r>
  <r>
    <n v="10020"/>
    <x v="18"/>
    <x v="1"/>
    <n v="36"/>
    <x v="2"/>
    <x v="1"/>
    <x v="4"/>
    <x v="3"/>
    <s v="Mary Welch"/>
    <s v="2021-03-02"/>
    <x v="0"/>
    <x v="1"/>
    <n v="46811"/>
    <s v="D"/>
    <n v="1567"/>
    <s v="None"/>
    <n v="7"/>
    <n v="3"/>
    <s v="Excel Workshop"/>
    <x v="0"/>
    <s v="Advanced Training"/>
  </r>
  <r>
    <n v="10021"/>
    <x v="19"/>
    <x v="1"/>
    <n v="31"/>
    <x v="1"/>
    <x v="3"/>
    <x v="2"/>
    <x v="1"/>
    <s v="Douglas Miles"/>
    <s v="2021-08-01"/>
    <x v="1"/>
    <x v="1"/>
    <n v="87538"/>
    <s v="C"/>
    <n v="3588"/>
    <s v="Health + Dental"/>
    <n v="11"/>
    <n v="5"/>
    <s v="Excel Workshop"/>
    <x v="2"/>
    <s v="None"/>
  </r>
  <r>
    <n v="10022"/>
    <x v="20"/>
    <x v="0"/>
    <n v="28"/>
    <x v="1"/>
    <x v="0"/>
    <x v="1"/>
    <x v="4"/>
    <s v="Jessica Fleming"/>
    <s v="2015-08-14"/>
    <x v="0"/>
    <x v="1"/>
    <n v="73002"/>
    <s v="C"/>
    <n v="6296"/>
    <s v="Health"/>
    <n v="2"/>
    <n v="5"/>
    <s v="Excel Workshop"/>
    <x v="1"/>
    <s v="Certified Professional"/>
  </r>
  <r>
    <n v="10023"/>
    <x v="21"/>
    <x v="1"/>
    <n v="37"/>
    <x v="2"/>
    <x v="3"/>
    <x v="1"/>
    <x v="3"/>
    <s v="Christine Lee"/>
    <s v="2015-10-21"/>
    <x v="2"/>
    <x v="2"/>
    <n v="41653"/>
    <s v="D"/>
    <n v="9236"/>
    <s v="None"/>
    <n v="13"/>
    <n v="1"/>
    <s v="Excel Workshop"/>
    <x v="0"/>
    <s v="None"/>
  </r>
  <r>
    <n v="10024"/>
    <x v="22"/>
    <x v="0"/>
    <n v="31"/>
    <x v="1"/>
    <x v="0"/>
    <x v="0"/>
    <x v="2"/>
    <s v="Mario Smith DVM"/>
    <s v="2015-03-14"/>
    <x v="1"/>
    <x v="1"/>
    <n v="67582"/>
    <s v="A"/>
    <n v="1375"/>
    <s v="Health"/>
    <n v="20"/>
    <n v="3"/>
    <s v="Excel Workshop"/>
    <x v="1"/>
    <s v="None"/>
  </r>
  <r>
    <n v="10025"/>
    <x v="23"/>
    <x v="0"/>
    <n v="23"/>
    <x v="0"/>
    <x v="3"/>
    <x v="1"/>
    <x v="1"/>
    <s v="Joseph Francis"/>
    <s v="2024-05-22"/>
    <x v="2"/>
    <x v="1"/>
    <n v="37351"/>
    <s v="D"/>
    <n v="7858"/>
    <s v="Health + Dental"/>
    <n v="18"/>
    <n v="2"/>
    <s v="Leadership Training"/>
    <x v="1"/>
    <s v="Advanced Training"/>
  </r>
  <r>
    <n v="10026"/>
    <x v="24"/>
    <x v="0"/>
    <n v="48"/>
    <x v="4"/>
    <x v="4"/>
    <x v="2"/>
    <x v="0"/>
    <s v="Sarah Young"/>
    <s v="2017-03-19"/>
    <x v="0"/>
    <x v="1"/>
    <n v="36721"/>
    <s v="B"/>
    <n v="8820"/>
    <s v="Health + Dental"/>
    <n v="0"/>
    <n v="2"/>
    <s v="Excel Workshop"/>
    <x v="1"/>
    <s v="Certified Professional"/>
  </r>
  <r>
    <n v="10027"/>
    <x v="25"/>
    <x v="1"/>
    <n v="28"/>
    <x v="1"/>
    <x v="2"/>
    <x v="4"/>
    <x v="0"/>
    <s v="Aaron Hart"/>
    <s v="2021-09-15"/>
    <x v="1"/>
    <x v="2"/>
    <n v="46326"/>
    <s v="B"/>
    <n v="9189"/>
    <s v="Health + Dental"/>
    <n v="8"/>
    <n v="4"/>
    <s v="Leadership Training"/>
    <x v="3"/>
    <s v="Advanced Training"/>
  </r>
  <r>
    <n v="10028"/>
    <x v="26"/>
    <x v="1"/>
    <n v="30"/>
    <x v="1"/>
    <x v="1"/>
    <x v="3"/>
    <x v="1"/>
    <s v="Brian Boyd"/>
    <s v="2022-05-09"/>
    <x v="0"/>
    <x v="0"/>
    <n v="59007"/>
    <s v="C"/>
    <n v="3380"/>
    <s v="Health"/>
    <n v="17"/>
    <n v="3"/>
    <s v="None"/>
    <x v="4"/>
    <s v="Certified Professional"/>
  </r>
  <r>
    <n v="10029"/>
    <x v="27"/>
    <x v="1"/>
    <n v="46"/>
    <x v="4"/>
    <x v="3"/>
    <x v="0"/>
    <x v="3"/>
    <s v="Steven Krueger"/>
    <s v="2017-06-22"/>
    <x v="0"/>
    <x v="1"/>
    <n v="52020"/>
    <s v="B"/>
    <n v="9585"/>
    <s v="Health + Dental"/>
    <n v="0"/>
    <n v="4"/>
    <s v="Excel Workshop"/>
    <x v="4"/>
    <s v="None"/>
  </r>
  <r>
    <n v="10030"/>
    <x v="28"/>
    <x v="1"/>
    <n v="44"/>
    <x v="2"/>
    <x v="1"/>
    <x v="2"/>
    <x v="1"/>
    <s v="Debra Williams"/>
    <s v="2020-11-28"/>
    <x v="2"/>
    <x v="1"/>
    <n v="98961"/>
    <s v="D"/>
    <n v="2688"/>
    <s v="Health"/>
    <n v="2"/>
    <n v="5"/>
    <s v="Excel Workshop"/>
    <x v="4"/>
    <s v="Certified Professional"/>
  </r>
  <r>
    <n v="10031"/>
    <x v="29"/>
    <x v="1"/>
    <n v="45"/>
    <x v="2"/>
    <x v="2"/>
    <x v="3"/>
    <x v="2"/>
    <s v="Karen Mitchell"/>
    <s v="2015-08-30"/>
    <x v="2"/>
    <x v="1"/>
    <n v="81943"/>
    <s v="C"/>
    <n v="2255"/>
    <s v="Health"/>
    <n v="18"/>
    <n v="2"/>
    <s v="None"/>
    <x v="2"/>
    <s v="Certified Professional"/>
  </r>
  <r>
    <n v="10032"/>
    <x v="30"/>
    <x v="1"/>
    <n v="52"/>
    <x v="4"/>
    <x v="4"/>
    <x v="2"/>
    <x v="1"/>
    <s v="Joseph Sanders"/>
    <s v="2018-10-27"/>
    <x v="2"/>
    <x v="1"/>
    <n v="47627"/>
    <s v="C"/>
    <n v="1221"/>
    <s v="None"/>
    <n v="4"/>
    <n v="3"/>
    <s v="None"/>
    <x v="1"/>
    <s v="None"/>
  </r>
  <r>
    <n v="10033"/>
    <x v="31"/>
    <x v="0"/>
    <n v="52"/>
    <x v="4"/>
    <x v="0"/>
    <x v="0"/>
    <x v="4"/>
    <s v="Shelly George"/>
    <s v="2018-08-26"/>
    <x v="2"/>
    <x v="1"/>
    <n v="56162"/>
    <s v="D"/>
    <n v="6560"/>
    <s v="Health + Dental"/>
    <n v="9"/>
    <n v="4"/>
    <s v="Excel Workshop"/>
    <x v="3"/>
    <s v="None"/>
  </r>
  <r>
    <n v="10034"/>
    <x v="32"/>
    <x v="0"/>
    <n v="42"/>
    <x v="2"/>
    <x v="1"/>
    <x v="2"/>
    <x v="2"/>
    <s v="Nicole Houston"/>
    <s v="2023-07-24"/>
    <x v="1"/>
    <x v="2"/>
    <n v="95734"/>
    <s v="C"/>
    <n v="4854"/>
    <s v="Health"/>
    <n v="13"/>
    <n v="2"/>
    <s v="Leadership Training"/>
    <x v="0"/>
    <s v="Certified Professional"/>
  </r>
  <r>
    <n v="10035"/>
    <x v="33"/>
    <x v="1"/>
    <n v="58"/>
    <x v="3"/>
    <x v="1"/>
    <x v="1"/>
    <x v="3"/>
    <s v="Kristin Shaffer"/>
    <s v="2018-07-09"/>
    <x v="1"/>
    <x v="2"/>
    <n v="74789"/>
    <s v="C"/>
    <n v="8101"/>
    <s v="Health + Dental"/>
    <n v="14"/>
    <n v="5"/>
    <s v="Excel Workshop"/>
    <x v="2"/>
    <s v="None"/>
  </r>
  <r>
    <n v="10036"/>
    <x v="34"/>
    <x v="0"/>
    <n v="24"/>
    <x v="0"/>
    <x v="4"/>
    <x v="0"/>
    <x v="3"/>
    <s v="Joel Aguilar"/>
    <s v="2016-12-21"/>
    <x v="0"/>
    <x v="2"/>
    <n v="30137"/>
    <s v="B"/>
    <n v="4031"/>
    <s v="None"/>
    <n v="5"/>
    <n v="3"/>
    <s v="None"/>
    <x v="1"/>
    <s v="Certified Professional"/>
  </r>
  <r>
    <n v="10037"/>
    <x v="35"/>
    <x v="1"/>
    <n v="21"/>
    <x v="0"/>
    <x v="1"/>
    <x v="0"/>
    <x v="0"/>
    <s v="Michael Wade"/>
    <s v="2019-06-27"/>
    <x v="0"/>
    <x v="2"/>
    <n v="95510"/>
    <s v="C"/>
    <n v="6811"/>
    <s v="Health"/>
    <n v="18"/>
    <n v="4"/>
    <s v="Excel Workshop"/>
    <x v="4"/>
    <s v="Certified Professional"/>
  </r>
  <r>
    <n v="10038"/>
    <x v="36"/>
    <x v="1"/>
    <n v="58"/>
    <x v="3"/>
    <x v="1"/>
    <x v="3"/>
    <x v="0"/>
    <s v="Jessica Walsh"/>
    <s v="2021-08-27"/>
    <x v="1"/>
    <x v="0"/>
    <n v="80325"/>
    <s v="B"/>
    <n v="6230"/>
    <s v="Health"/>
    <n v="5"/>
    <n v="4"/>
    <s v="None"/>
    <x v="2"/>
    <s v="Advanced Training"/>
  </r>
  <r>
    <n v="10039"/>
    <x v="37"/>
    <x v="0"/>
    <n v="57"/>
    <x v="3"/>
    <x v="3"/>
    <x v="4"/>
    <x v="4"/>
    <s v="Kelly Mack"/>
    <s v="2017-05-28"/>
    <x v="2"/>
    <x v="1"/>
    <n v="34109"/>
    <s v="B"/>
    <n v="9232"/>
    <s v="Health"/>
    <n v="13"/>
    <n v="3"/>
    <s v="Leadership Training"/>
    <x v="0"/>
    <s v="Certified Professional"/>
  </r>
  <r>
    <n v="10040"/>
    <x v="38"/>
    <x v="1"/>
    <n v="41"/>
    <x v="2"/>
    <x v="3"/>
    <x v="3"/>
    <x v="0"/>
    <s v="John Conley"/>
    <s v="2022-01-30"/>
    <x v="2"/>
    <x v="2"/>
    <n v="73330"/>
    <s v="C"/>
    <n v="2276"/>
    <s v="Health + Dental"/>
    <n v="5"/>
    <n v="1"/>
    <s v="None"/>
    <x v="1"/>
    <s v="Advanced Training"/>
  </r>
  <r>
    <n v="10041"/>
    <x v="39"/>
    <x v="0"/>
    <n v="58"/>
    <x v="3"/>
    <x v="2"/>
    <x v="2"/>
    <x v="1"/>
    <s v="Aaron Baker"/>
    <s v="2017-04-20"/>
    <x v="1"/>
    <x v="2"/>
    <n v="46567"/>
    <s v="A"/>
    <n v="2825"/>
    <s v="Health"/>
    <n v="15"/>
    <n v="3"/>
    <s v="None"/>
    <x v="4"/>
    <s v="Advanced Training"/>
  </r>
  <r>
    <n v="10042"/>
    <x v="40"/>
    <x v="0"/>
    <n v="36"/>
    <x v="2"/>
    <x v="0"/>
    <x v="4"/>
    <x v="0"/>
    <s v="Christopher Bass"/>
    <s v="2019-07-22"/>
    <x v="1"/>
    <x v="1"/>
    <n v="39795"/>
    <s v="A"/>
    <n v="1670"/>
    <s v="None"/>
    <n v="0"/>
    <n v="2"/>
    <s v="Excel Workshop"/>
    <x v="3"/>
    <s v="None"/>
  </r>
  <r>
    <n v="10043"/>
    <x v="41"/>
    <x v="0"/>
    <n v="21"/>
    <x v="0"/>
    <x v="0"/>
    <x v="0"/>
    <x v="4"/>
    <s v="Sean Tucker PhD"/>
    <s v="2018-11-29"/>
    <x v="1"/>
    <x v="2"/>
    <n v="59506"/>
    <s v="A"/>
    <n v="4428"/>
    <s v="Health + Dental"/>
    <n v="0"/>
    <n v="1"/>
    <s v="None"/>
    <x v="3"/>
    <s v="Certified Professional"/>
  </r>
  <r>
    <n v="10044"/>
    <x v="42"/>
    <x v="0"/>
    <n v="46"/>
    <x v="4"/>
    <x v="2"/>
    <x v="1"/>
    <x v="4"/>
    <s v="Jacob Scott"/>
    <s v="2022-11-14"/>
    <x v="1"/>
    <x v="2"/>
    <n v="49058"/>
    <s v="B"/>
    <n v="4396"/>
    <s v="None"/>
    <n v="5"/>
    <n v="1"/>
    <s v="None"/>
    <x v="3"/>
    <s v="None"/>
  </r>
  <r>
    <n v="10045"/>
    <x v="43"/>
    <x v="0"/>
    <n v="36"/>
    <x v="2"/>
    <x v="3"/>
    <x v="2"/>
    <x v="4"/>
    <s v="Joel Park"/>
    <s v="2016-02-23"/>
    <x v="1"/>
    <x v="0"/>
    <n v="98612"/>
    <s v="A"/>
    <n v="1168"/>
    <s v="None"/>
    <n v="9"/>
    <n v="2"/>
    <s v="Excel Workshop"/>
    <x v="0"/>
    <s v="Certified Professional"/>
  </r>
  <r>
    <n v="10046"/>
    <x v="44"/>
    <x v="1"/>
    <n v="41"/>
    <x v="2"/>
    <x v="4"/>
    <x v="3"/>
    <x v="1"/>
    <s v="Russell Marshall"/>
    <s v="2018-05-18"/>
    <x v="2"/>
    <x v="1"/>
    <n v="38201"/>
    <s v="A"/>
    <n v="7111"/>
    <s v="Health"/>
    <n v="8"/>
    <n v="4"/>
    <s v="Leadership Training"/>
    <x v="3"/>
    <s v="None"/>
  </r>
  <r>
    <n v="10047"/>
    <x v="45"/>
    <x v="1"/>
    <n v="25"/>
    <x v="0"/>
    <x v="0"/>
    <x v="2"/>
    <x v="2"/>
    <s v="James Holden"/>
    <s v="2024-03-09"/>
    <x v="2"/>
    <x v="1"/>
    <n v="92919"/>
    <s v="D"/>
    <n v="9497"/>
    <s v="Health"/>
    <n v="7"/>
    <n v="2"/>
    <s v="None"/>
    <x v="3"/>
    <s v="Advanced Training"/>
  </r>
  <r>
    <n v="10048"/>
    <x v="46"/>
    <x v="0"/>
    <n v="29"/>
    <x v="1"/>
    <x v="4"/>
    <x v="0"/>
    <x v="1"/>
    <s v="Thomas Murphy"/>
    <s v="2024-03-27"/>
    <x v="0"/>
    <x v="2"/>
    <n v="45188"/>
    <s v="A"/>
    <n v="9591"/>
    <s v="Health + Dental"/>
    <n v="18"/>
    <n v="3"/>
    <s v="Leadership Training"/>
    <x v="3"/>
    <s v="None"/>
  </r>
  <r>
    <n v="10049"/>
    <x v="47"/>
    <x v="0"/>
    <n v="59"/>
    <x v="3"/>
    <x v="2"/>
    <x v="1"/>
    <x v="0"/>
    <s v="Mark Abbott"/>
    <s v="2019-12-23"/>
    <x v="0"/>
    <x v="1"/>
    <n v="34927"/>
    <s v="D"/>
    <n v="6996"/>
    <s v="Health + Dental"/>
    <n v="16"/>
    <n v="1"/>
    <s v="Excel Workshop"/>
    <x v="0"/>
    <s v="Certified Professional"/>
  </r>
  <r>
    <n v="10050"/>
    <x v="48"/>
    <x v="0"/>
    <n v="27"/>
    <x v="1"/>
    <x v="0"/>
    <x v="2"/>
    <x v="3"/>
    <s v="Robin Lynch"/>
    <s v="2016-08-25"/>
    <x v="0"/>
    <x v="1"/>
    <n v="33183"/>
    <s v="A"/>
    <n v="1659"/>
    <s v="None"/>
    <n v="11"/>
    <n v="1"/>
    <s v="Leadership Training"/>
    <x v="2"/>
    <s v="None"/>
  </r>
  <r>
    <n v="10051"/>
    <x v="49"/>
    <x v="0"/>
    <n v="58"/>
    <x v="3"/>
    <x v="1"/>
    <x v="2"/>
    <x v="4"/>
    <s v="Michael Scott"/>
    <s v="2021-05-30"/>
    <x v="2"/>
    <x v="0"/>
    <n v="69488"/>
    <s v="D"/>
    <n v="8580"/>
    <s v="Health + Dental"/>
    <n v="17"/>
    <n v="4"/>
    <s v="Excel Workshop"/>
    <x v="3"/>
    <s v="Advanced Training"/>
  </r>
  <r>
    <n v="10052"/>
    <x v="50"/>
    <x v="0"/>
    <n v="30"/>
    <x v="1"/>
    <x v="3"/>
    <x v="0"/>
    <x v="2"/>
    <s v="Michael Scott"/>
    <s v="2017-01-24"/>
    <x v="0"/>
    <x v="0"/>
    <n v="91851"/>
    <s v="A"/>
    <n v="2168"/>
    <s v="None"/>
    <n v="18"/>
    <n v="5"/>
    <s v="Excel Workshop"/>
    <x v="1"/>
    <s v="Certified Professional"/>
  </r>
  <r>
    <n v="10053"/>
    <x v="51"/>
    <x v="0"/>
    <n v="48"/>
    <x v="4"/>
    <x v="3"/>
    <x v="2"/>
    <x v="1"/>
    <s v="Sarah Adams"/>
    <s v="2021-03-13"/>
    <x v="0"/>
    <x v="2"/>
    <n v="51460"/>
    <s v="C"/>
    <n v="8859"/>
    <s v="Health"/>
    <n v="7"/>
    <n v="4"/>
    <s v="Excel Workshop"/>
    <x v="1"/>
    <s v="Advanced Training"/>
  </r>
  <r>
    <n v="10054"/>
    <x v="52"/>
    <x v="1"/>
    <n v="39"/>
    <x v="2"/>
    <x v="4"/>
    <x v="2"/>
    <x v="2"/>
    <s v="Robert King"/>
    <s v="2017-08-02"/>
    <x v="0"/>
    <x v="1"/>
    <n v="84341"/>
    <s v="B"/>
    <n v="3800"/>
    <s v="Health + Dental"/>
    <n v="3"/>
    <n v="5"/>
    <s v="Leadership Training"/>
    <x v="4"/>
    <s v="Certified Professional"/>
  </r>
  <r>
    <n v="10055"/>
    <x v="53"/>
    <x v="0"/>
    <n v="33"/>
    <x v="1"/>
    <x v="4"/>
    <x v="1"/>
    <x v="3"/>
    <s v="Robert King"/>
    <s v="2017-04-14"/>
    <x v="0"/>
    <x v="2"/>
    <n v="77360"/>
    <s v="B"/>
    <n v="2665"/>
    <s v="Health"/>
    <n v="5"/>
    <n v="3"/>
    <s v="None"/>
    <x v="2"/>
    <s v="None"/>
  </r>
  <r>
    <n v="10056"/>
    <x v="54"/>
    <x v="1"/>
    <n v="49"/>
    <x v="4"/>
    <x v="4"/>
    <x v="4"/>
    <x v="2"/>
    <s v="Robert King"/>
    <s v="2022-11-07"/>
    <x v="1"/>
    <x v="1"/>
    <n v="72691"/>
    <s v="C"/>
    <n v="7797"/>
    <s v="Health + Dental"/>
    <n v="12"/>
    <n v="5"/>
    <s v="Excel Workshop"/>
    <x v="0"/>
    <s v="Certified Professional"/>
  </r>
  <r>
    <n v="10057"/>
    <x v="55"/>
    <x v="0"/>
    <n v="43"/>
    <x v="2"/>
    <x v="4"/>
    <x v="2"/>
    <x v="1"/>
    <s v="Emily Davis"/>
    <s v="2025-01-25"/>
    <x v="1"/>
    <x v="2"/>
    <n v="74746"/>
    <s v="D"/>
    <n v="4644"/>
    <s v="None"/>
    <n v="16"/>
    <n v="3"/>
    <s v="Leadership Training"/>
    <x v="0"/>
    <s v="None"/>
  </r>
  <r>
    <n v="10058"/>
    <x v="56"/>
    <x v="1"/>
    <n v="29"/>
    <x v="1"/>
    <x v="3"/>
    <x v="1"/>
    <x v="2"/>
    <s v="John Carter"/>
    <s v="2016-07-18"/>
    <x v="2"/>
    <x v="2"/>
    <n v="95491"/>
    <s v="A"/>
    <n v="8819"/>
    <s v="Health + Dental"/>
    <n v="0"/>
    <n v="5"/>
    <s v="None"/>
    <x v="2"/>
    <s v="None"/>
  </r>
  <r>
    <n v="10059"/>
    <x v="57"/>
    <x v="0"/>
    <n v="60"/>
    <x v="3"/>
    <x v="0"/>
    <x v="0"/>
    <x v="0"/>
    <s v="Emily Davis"/>
    <s v="2020-05-09"/>
    <x v="0"/>
    <x v="1"/>
    <n v="95671"/>
    <s v="D"/>
    <n v="2643"/>
    <s v="Health + Dental"/>
    <n v="18"/>
    <n v="1"/>
    <s v="None"/>
    <x v="2"/>
    <s v="None"/>
  </r>
  <r>
    <n v="10060"/>
    <x v="58"/>
    <x v="0"/>
    <n v="42"/>
    <x v="2"/>
    <x v="0"/>
    <x v="2"/>
    <x v="2"/>
    <s v="John Carter"/>
    <s v="2022-07-06"/>
    <x v="0"/>
    <x v="1"/>
    <n v="40925"/>
    <s v="C"/>
    <n v="4223"/>
    <s v="None"/>
    <n v="16"/>
    <n v="5"/>
    <s v="Excel Workshop"/>
    <x v="2"/>
    <s v="Advanced Training"/>
  </r>
  <r>
    <n v="10061"/>
    <x v="59"/>
    <x v="0"/>
    <n v="36"/>
    <x v="2"/>
    <x v="3"/>
    <x v="1"/>
    <x v="1"/>
    <s v="Emily Davis"/>
    <s v="2020-02-06"/>
    <x v="1"/>
    <x v="1"/>
    <n v="64593"/>
    <s v="C"/>
    <n v="6492"/>
    <s v="None"/>
    <n v="2"/>
    <n v="3"/>
    <s v="None"/>
    <x v="0"/>
    <s v="Certified Professional"/>
  </r>
  <r>
    <n v="10062"/>
    <x v="60"/>
    <x v="1"/>
    <n v="33"/>
    <x v="1"/>
    <x v="0"/>
    <x v="4"/>
    <x v="0"/>
    <s v="Emily Davis"/>
    <s v="2024-11-20"/>
    <x v="1"/>
    <x v="2"/>
    <n v="44149"/>
    <s v="C"/>
    <n v="7407"/>
    <s v="Health"/>
    <n v="17"/>
    <n v="3"/>
    <s v="None"/>
    <x v="4"/>
    <s v="None"/>
  </r>
  <r>
    <n v="10063"/>
    <x v="61"/>
    <x v="0"/>
    <n v="31"/>
    <x v="1"/>
    <x v="0"/>
    <x v="4"/>
    <x v="0"/>
    <s v="John Carter"/>
    <s v="2015-09-26"/>
    <x v="0"/>
    <x v="0"/>
    <n v="52519"/>
    <s v="C"/>
    <n v="2677"/>
    <s v="Health"/>
    <n v="14"/>
    <n v="1"/>
    <s v="Excel Workshop"/>
    <x v="3"/>
    <s v="None"/>
  </r>
  <r>
    <n v="10064"/>
    <x v="62"/>
    <x v="1"/>
    <n v="45"/>
    <x v="2"/>
    <x v="0"/>
    <x v="3"/>
    <x v="2"/>
    <s v="Michael Scott"/>
    <s v="2022-02-15"/>
    <x v="1"/>
    <x v="0"/>
    <n v="95503"/>
    <s v="D"/>
    <n v="6862"/>
    <s v="Health"/>
    <n v="5"/>
    <n v="2"/>
    <s v="Excel Workshop"/>
    <x v="3"/>
    <s v="None"/>
  </r>
  <r>
    <n v="10065"/>
    <x v="50"/>
    <x v="1"/>
    <n v="21"/>
    <x v="0"/>
    <x v="1"/>
    <x v="1"/>
    <x v="3"/>
    <s v="John Carter"/>
    <s v="2020-04-24"/>
    <x v="1"/>
    <x v="1"/>
    <n v="74633"/>
    <s v="C"/>
    <n v="4970"/>
    <s v="Health + Dental"/>
    <n v="14"/>
    <n v="4"/>
    <s v="None"/>
    <x v="0"/>
    <s v="None"/>
  </r>
  <r>
    <n v="10066"/>
    <x v="63"/>
    <x v="1"/>
    <n v="25"/>
    <x v="0"/>
    <x v="3"/>
    <x v="1"/>
    <x v="2"/>
    <s v="Emily Davis"/>
    <s v="2021-03-27"/>
    <x v="2"/>
    <x v="0"/>
    <n v="45687"/>
    <s v="C"/>
    <n v="9351"/>
    <s v="Health"/>
    <n v="4"/>
    <n v="4"/>
    <s v="None"/>
    <x v="4"/>
    <s v="Certified Professional"/>
  </r>
  <r>
    <n v="10067"/>
    <x v="56"/>
    <x v="1"/>
    <n v="21"/>
    <x v="0"/>
    <x v="4"/>
    <x v="3"/>
    <x v="1"/>
    <s v="Emily Davis"/>
    <s v="2019-03-23"/>
    <x v="0"/>
    <x v="2"/>
    <n v="38728"/>
    <s v="A"/>
    <n v="2444"/>
    <s v="Health"/>
    <n v="2"/>
    <n v="2"/>
    <s v="Leadership Training"/>
    <x v="1"/>
    <s v="None"/>
  </r>
  <r>
    <n v="10068"/>
    <x v="64"/>
    <x v="0"/>
    <n v="52"/>
    <x v="4"/>
    <x v="1"/>
    <x v="3"/>
    <x v="4"/>
    <s v="Michael Scott"/>
    <s v="2016-03-02"/>
    <x v="1"/>
    <x v="0"/>
    <n v="52630"/>
    <s v="B"/>
    <n v="4861"/>
    <s v="Health + Dental"/>
    <n v="18"/>
    <n v="3"/>
    <s v="Leadership Training"/>
    <x v="4"/>
    <s v="None"/>
  </r>
  <r>
    <n v="10069"/>
    <x v="65"/>
    <x v="0"/>
    <n v="59"/>
    <x v="3"/>
    <x v="3"/>
    <x v="3"/>
    <x v="1"/>
    <s v="Emily Davis"/>
    <s v="2020-08-03"/>
    <x v="2"/>
    <x v="1"/>
    <n v="43990"/>
    <s v="A"/>
    <n v="6110"/>
    <s v="Health"/>
    <n v="6"/>
    <n v="5"/>
    <s v="Excel Workshop"/>
    <x v="1"/>
    <s v="Advanced Training"/>
  </r>
  <r>
    <n v="10070"/>
    <x v="66"/>
    <x v="1"/>
    <n v="40"/>
    <x v="2"/>
    <x v="3"/>
    <x v="4"/>
    <x v="2"/>
    <s v="Lisa Brown"/>
    <s v="2025-06-06"/>
    <x v="1"/>
    <x v="0"/>
    <n v="94985"/>
    <s v="A"/>
    <n v="1488"/>
    <s v="None"/>
    <n v="19"/>
    <n v="4"/>
    <s v="Leadership Training"/>
    <x v="3"/>
    <s v="Advanced Training"/>
  </r>
  <r>
    <n v="10071"/>
    <x v="67"/>
    <x v="1"/>
    <n v="50"/>
    <x v="4"/>
    <x v="1"/>
    <x v="2"/>
    <x v="2"/>
    <s v="Emily Davis"/>
    <s v="2021-11-05"/>
    <x v="1"/>
    <x v="1"/>
    <n v="65838"/>
    <s v="B"/>
    <n v="9661"/>
    <s v="None"/>
    <n v="10"/>
    <n v="1"/>
    <s v="None"/>
    <x v="4"/>
    <s v="Advanced Training"/>
  </r>
  <r>
    <n v="10072"/>
    <x v="68"/>
    <x v="0"/>
    <n v="25"/>
    <x v="0"/>
    <x v="4"/>
    <x v="0"/>
    <x v="0"/>
    <s v="Lisa Brown"/>
    <s v="2015-08-30"/>
    <x v="2"/>
    <x v="2"/>
    <n v="55313"/>
    <s v="D"/>
    <n v="2421"/>
    <s v="None"/>
    <n v="18"/>
    <n v="3"/>
    <s v="Leadership Training"/>
    <x v="3"/>
    <s v="None"/>
  </r>
  <r>
    <n v="10073"/>
    <x v="69"/>
    <x v="0"/>
    <n v="42"/>
    <x v="2"/>
    <x v="4"/>
    <x v="4"/>
    <x v="2"/>
    <s v="Lisa Brown"/>
    <s v="2020-11-06"/>
    <x v="1"/>
    <x v="1"/>
    <n v="44964"/>
    <s v="B"/>
    <n v="6062"/>
    <s v="None"/>
    <n v="18"/>
    <n v="3"/>
    <s v="Excel Workshop"/>
    <x v="0"/>
    <s v="Certified Professional"/>
  </r>
  <r>
    <n v="10074"/>
    <x v="70"/>
    <x v="1"/>
    <n v="60"/>
    <x v="3"/>
    <x v="0"/>
    <x v="4"/>
    <x v="4"/>
    <s v="Sarah Adams"/>
    <s v="2025-06-13"/>
    <x v="0"/>
    <x v="1"/>
    <n v="32801"/>
    <s v="B"/>
    <n v="7841"/>
    <s v="Health + Dental"/>
    <n v="19"/>
    <n v="4"/>
    <s v="None"/>
    <x v="2"/>
    <s v="None"/>
  </r>
  <r>
    <n v="10075"/>
    <x v="71"/>
    <x v="1"/>
    <n v="59"/>
    <x v="3"/>
    <x v="1"/>
    <x v="4"/>
    <x v="1"/>
    <s v="Michael Scott"/>
    <s v="2025-04-01"/>
    <x v="0"/>
    <x v="0"/>
    <n v="91316"/>
    <s v="C"/>
    <n v="9911"/>
    <s v="Health"/>
    <n v="14"/>
    <n v="3"/>
    <s v="Excel Workshop"/>
    <x v="2"/>
    <s v="Certified Professional"/>
  </r>
  <r>
    <n v="10076"/>
    <x v="72"/>
    <x v="0"/>
    <n v="58"/>
    <x v="3"/>
    <x v="2"/>
    <x v="4"/>
    <x v="1"/>
    <s v="Emily Davis"/>
    <s v="2016-10-12"/>
    <x v="2"/>
    <x v="1"/>
    <n v="39073"/>
    <s v="D"/>
    <n v="6895"/>
    <s v="None"/>
    <n v="8"/>
    <n v="1"/>
    <s v="None"/>
    <x v="3"/>
    <s v="Advanced Training"/>
  </r>
  <r>
    <n v="10077"/>
    <x v="73"/>
    <x v="0"/>
    <n v="49"/>
    <x v="4"/>
    <x v="0"/>
    <x v="0"/>
    <x v="0"/>
    <s v="Lisa Brown"/>
    <s v="2018-08-03"/>
    <x v="1"/>
    <x v="1"/>
    <n v="65508"/>
    <s v="C"/>
    <n v="1012"/>
    <s v="None"/>
    <n v="13"/>
    <n v="5"/>
    <s v="None"/>
    <x v="1"/>
    <s v="None"/>
  </r>
  <r>
    <n v="10078"/>
    <x v="74"/>
    <x v="1"/>
    <n v="27"/>
    <x v="1"/>
    <x v="1"/>
    <x v="3"/>
    <x v="2"/>
    <s v="Michael Scott"/>
    <s v="2021-12-03"/>
    <x v="0"/>
    <x v="2"/>
    <n v="32152"/>
    <s v="B"/>
    <n v="2312"/>
    <s v="Health"/>
    <n v="7"/>
    <n v="2"/>
    <s v="None"/>
    <x v="1"/>
    <s v="Certified Professional"/>
  </r>
  <r>
    <n v="10079"/>
    <x v="65"/>
    <x v="1"/>
    <n v="35"/>
    <x v="1"/>
    <x v="3"/>
    <x v="0"/>
    <x v="4"/>
    <s v="Robert King"/>
    <s v="2022-12-30"/>
    <x v="2"/>
    <x v="0"/>
    <n v="85710"/>
    <s v="C"/>
    <n v="3870"/>
    <s v="None"/>
    <n v="12"/>
    <n v="1"/>
    <s v="None"/>
    <x v="2"/>
    <s v="Certified Professional"/>
  </r>
  <r>
    <n v="10080"/>
    <x v="72"/>
    <x v="0"/>
    <n v="38"/>
    <x v="2"/>
    <x v="1"/>
    <x v="1"/>
    <x v="1"/>
    <s v="Robert King"/>
    <s v="2019-11-01"/>
    <x v="0"/>
    <x v="2"/>
    <n v="73232"/>
    <s v="B"/>
    <n v="5506"/>
    <s v="Health + Dental"/>
    <n v="9"/>
    <n v="1"/>
    <s v="Leadership Training"/>
    <x v="0"/>
    <s v="Certified Professional"/>
  </r>
  <r>
    <n v="10081"/>
    <x v="75"/>
    <x v="0"/>
    <n v="23"/>
    <x v="0"/>
    <x v="4"/>
    <x v="2"/>
    <x v="1"/>
    <s v="Michael Scott"/>
    <s v="2024-04-07"/>
    <x v="0"/>
    <x v="0"/>
    <n v="33994"/>
    <s v="B"/>
    <n v="1162"/>
    <s v="Health"/>
    <n v="5"/>
    <n v="1"/>
    <s v="Leadership Training"/>
    <x v="3"/>
    <s v="Certified Professional"/>
  </r>
  <r>
    <n v="10082"/>
    <x v="76"/>
    <x v="1"/>
    <n v="52"/>
    <x v="4"/>
    <x v="2"/>
    <x v="0"/>
    <x v="1"/>
    <s v="Emily Davis"/>
    <s v="2025-04-27"/>
    <x v="1"/>
    <x v="0"/>
    <n v="32395"/>
    <s v="B"/>
    <n v="3515"/>
    <s v="Health + Dental"/>
    <n v="4"/>
    <n v="5"/>
    <s v="Leadership Training"/>
    <x v="0"/>
    <s v="Certified Professional"/>
  </r>
  <r>
    <n v="10083"/>
    <x v="77"/>
    <x v="1"/>
    <n v="50"/>
    <x v="4"/>
    <x v="2"/>
    <x v="4"/>
    <x v="4"/>
    <s v="Emily Davis"/>
    <s v="2020-11-27"/>
    <x v="2"/>
    <x v="2"/>
    <n v="88353"/>
    <s v="B"/>
    <n v="6847"/>
    <s v="Health"/>
    <n v="15"/>
    <n v="5"/>
    <s v="Leadership Training"/>
    <x v="1"/>
    <s v="Advanced Training"/>
  </r>
  <r>
    <n v="10084"/>
    <x v="78"/>
    <x v="0"/>
    <n v="34"/>
    <x v="1"/>
    <x v="3"/>
    <x v="4"/>
    <x v="1"/>
    <s v="John Carter"/>
    <s v="2025-03-27"/>
    <x v="2"/>
    <x v="0"/>
    <n v="47269"/>
    <s v="B"/>
    <n v="5626"/>
    <s v="None"/>
    <n v="14"/>
    <n v="3"/>
    <s v="Leadership Training"/>
    <x v="0"/>
    <s v="Certified Professional"/>
  </r>
  <r>
    <n v="10085"/>
    <x v="79"/>
    <x v="0"/>
    <n v="40"/>
    <x v="2"/>
    <x v="1"/>
    <x v="4"/>
    <x v="4"/>
    <s v="Robert King"/>
    <s v="2014-08-05"/>
    <x v="0"/>
    <x v="0"/>
    <n v="73454"/>
    <s v="B"/>
    <n v="4686"/>
    <s v="None"/>
    <n v="3"/>
    <n v="5"/>
    <s v="Excel Workshop"/>
    <x v="2"/>
    <s v="None"/>
  </r>
  <r>
    <n v="10086"/>
    <x v="80"/>
    <x v="1"/>
    <n v="40"/>
    <x v="2"/>
    <x v="1"/>
    <x v="4"/>
    <x v="0"/>
    <s v="Michael Scott"/>
    <s v="2017-08-03"/>
    <x v="0"/>
    <x v="0"/>
    <n v="94864"/>
    <s v="C"/>
    <n v="3983"/>
    <s v="Health + Dental"/>
    <n v="18"/>
    <n v="3"/>
    <s v="Excel Workshop"/>
    <x v="4"/>
    <s v="Certified Professional"/>
  </r>
  <r>
    <n v="10087"/>
    <x v="66"/>
    <x v="1"/>
    <n v="52"/>
    <x v="4"/>
    <x v="3"/>
    <x v="0"/>
    <x v="1"/>
    <s v="Sarah Adams"/>
    <s v="2016-05-17"/>
    <x v="0"/>
    <x v="0"/>
    <n v="87544"/>
    <s v="C"/>
    <n v="5916"/>
    <s v="Health"/>
    <n v="10"/>
    <n v="4"/>
    <s v="Excel Workshop"/>
    <x v="2"/>
    <s v="Advanced Training"/>
  </r>
  <r>
    <n v="10088"/>
    <x v="81"/>
    <x v="1"/>
    <n v="31"/>
    <x v="1"/>
    <x v="1"/>
    <x v="3"/>
    <x v="3"/>
    <s v="Sarah Adams"/>
    <s v="2025-01-12"/>
    <x v="0"/>
    <x v="0"/>
    <n v="38951"/>
    <s v="B"/>
    <n v="9412"/>
    <s v="None"/>
    <n v="17"/>
    <n v="5"/>
    <s v="Excel Workshop"/>
    <x v="4"/>
    <s v="Certified Professional"/>
  </r>
  <r>
    <n v="10089"/>
    <x v="82"/>
    <x v="1"/>
    <n v="47"/>
    <x v="4"/>
    <x v="2"/>
    <x v="0"/>
    <x v="4"/>
    <s v="Robert King"/>
    <s v="2023-03-07"/>
    <x v="1"/>
    <x v="2"/>
    <n v="70521"/>
    <s v="B"/>
    <n v="8471"/>
    <s v="Health"/>
    <n v="7"/>
    <n v="2"/>
    <s v="Excel Workshop"/>
    <x v="2"/>
    <s v="Advanced Training"/>
  </r>
  <r>
    <n v="10090"/>
    <x v="83"/>
    <x v="1"/>
    <n v="40"/>
    <x v="2"/>
    <x v="3"/>
    <x v="3"/>
    <x v="2"/>
    <s v="Emily Davis"/>
    <s v="2025-01-07"/>
    <x v="0"/>
    <x v="0"/>
    <n v="94677"/>
    <s v="C"/>
    <n v="1436"/>
    <s v="None"/>
    <n v="18"/>
    <n v="3"/>
    <s v="None"/>
    <x v="0"/>
    <s v="Certified Professional"/>
  </r>
  <r>
    <n v="10091"/>
    <x v="84"/>
    <x v="1"/>
    <n v="39"/>
    <x v="2"/>
    <x v="4"/>
    <x v="0"/>
    <x v="1"/>
    <s v="Emily Davis"/>
    <s v="2019-08-18"/>
    <x v="2"/>
    <x v="1"/>
    <n v="53505"/>
    <s v="A"/>
    <n v="6751"/>
    <s v="Health"/>
    <n v="16"/>
    <n v="2"/>
    <s v="Excel Workshop"/>
    <x v="0"/>
    <s v="Certified Professional"/>
  </r>
  <r>
    <n v="10092"/>
    <x v="83"/>
    <x v="1"/>
    <n v="36"/>
    <x v="2"/>
    <x v="3"/>
    <x v="2"/>
    <x v="2"/>
    <s v="Michael Scott"/>
    <s v="2025-01-18"/>
    <x v="0"/>
    <x v="2"/>
    <n v="51335"/>
    <s v="D"/>
    <n v="8535"/>
    <s v="None"/>
    <n v="2"/>
    <n v="5"/>
    <s v="Excel Workshop"/>
    <x v="0"/>
    <s v="Certified Professional"/>
  </r>
  <r>
    <n v="10093"/>
    <x v="85"/>
    <x v="0"/>
    <n v="46"/>
    <x v="4"/>
    <x v="1"/>
    <x v="1"/>
    <x v="1"/>
    <s v="Emily Davis"/>
    <s v="2022-09-11"/>
    <x v="0"/>
    <x v="1"/>
    <n v="96587"/>
    <s v="D"/>
    <n v="4148"/>
    <s v="Health + Dental"/>
    <n v="15"/>
    <n v="1"/>
    <s v="None"/>
    <x v="4"/>
    <s v="Certified Professional"/>
  </r>
  <r>
    <n v="10094"/>
    <x v="59"/>
    <x v="1"/>
    <n v="54"/>
    <x v="4"/>
    <x v="0"/>
    <x v="3"/>
    <x v="2"/>
    <s v="Robert King"/>
    <s v="2021-05-03"/>
    <x v="2"/>
    <x v="1"/>
    <n v="81767"/>
    <s v="C"/>
    <n v="4425"/>
    <s v="Health + Dental"/>
    <n v="16"/>
    <n v="1"/>
    <s v="None"/>
    <x v="0"/>
    <s v="Advanced Training"/>
  </r>
  <r>
    <n v="10095"/>
    <x v="86"/>
    <x v="1"/>
    <n v="54"/>
    <x v="4"/>
    <x v="1"/>
    <x v="2"/>
    <x v="1"/>
    <s v="Michael Scott"/>
    <s v="2023-03-07"/>
    <x v="0"/>
    <x v="0"/>
    <n v="70567"/>
    <s v="D"/>
    <n v="3149"/>
    <s v="Health + Dental"/>
    <n v="15"/>
    <n v="4"/>
    <s v="None"/>
    <x v="2"/>
    <s v="Advanced Training"/>
  </r>
  <r>
    <n v="10096"/>
    <x v="87"/>
    <x v="0"/>
    <n v="35"/>
    <x v="1"/>
    <x v="3"/>
    <x v="4"/>
    <x v="0"/>
    <s v="Robert King"/>
    <s v="2022-10-15"/>
    <x v="2"/>
    <x v="2"/>
    <n v="47791"/>
    <s v="B"/>
    <n v="6443"/>
    <s v="Health"/>
    <n v="8"/>
    <n v="5"/>
    <s v="Leadership Training"/>
    <x v="0"/>
    <s v="None"/>
  </r>
  <r>
    <n v="10097"/>
    <x v="84"/>
    <x v="1"/>
    <n v="23"/>
    <x v="0"/>
    <x v="3"/>
    <x v="2"/>
    <x v="3"/>
    <s v="Michael Scott"/>
    <s v="2020-07-30"/>
    <x v="2"/>
    <x v="0"/>
    <n v="71619"/>
    <s v="A"/>
    <n v="2409"/>
    <s v="Health"/>
    <n v="20"/>
    <n v="4"/>
    <s v="None"/>
    <x v="2"/>
    <s v="None"/>
  </r>
  <r>
    <n v="10098"/>
    <x v="88"/>
    <x v="1"/>
    <n v="37"/>
    <x v="2"/>
    <x v="2"/>
    <x v="3"/>
    <x v="0"/>
    <s v="Sarah Adams"/>
    <s v="2022-04-20"/>
    <x v="2"/>
    <x v="0"/>
    <n v="38234"/>
    <s v="A"/>
    <n v="3160"/>
    <s v="Health"/>
    <n v="10"/>
    <n v="2"/>
    <s v="None"/>
    <x v="2"/>
    <s v="None"/>
  </r>
  <r>
    <n v="10099"/>
    <x v="89"/>
    <x v="0"/>
    <n v="33"/>
    <x v="1"/>
    <x v="0"/>
    <x v="3"/>
    <x v="0"/>
    <s v="Robert King"/>
    <s v="2020-09-17"/>
    <x v="2"/>
    <x v="0"/>
    <n v="54528"/>
    <s v="D"/>
    <n v="5238"/>
    <s v="Health"/>
    <n v="9"/>
    <n v="3"/>
    <s v="None"/>
    <x v="1"/>
    <s v="None"/>
  </r>
  <r>
    <n v="10100"/>
    <x v="90"/>
    <x v="0"/>
    <n v="26"/>
    <x v="1"/>
    <x v="4"/>
    <x v="3"/>
    <x v="4"/>
    <s v="Michael Scott"/>
    <s v="2016-02-17"/>
    <x v="1"/>
    <x v="0"/>
    <n v="54125"/>
    <s v="D"/>
    <n v="9708"/>
    <s v="Health"/>
    <n v="0"/>
    <n v="1"/>
    <s v="Excel Workshop"/>
    <x v="0"/>
    <s v="Certified Profession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F83F7-5D33-45E3-A122-46396B04645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O3:R10" firstHeaderRow="1" firstDataRow="2" firstDataCol="1"/>
  <pivotFields count="21">
    <pivotField showAll="0"/>
    <pivotField dataField="1"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items count="6">
        <item x="1"/>
        <item x="0"/>
        <item x="4"/>
        <item x="3"/>
        <item x="2"/>
        <item t="default"/>
      </items>
    </pivotField>
    <pivotField showAll="0"/>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5">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E21D7A-A86C-4CFF-9C88-DDF64D1D6BB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3:H9" firstHeaderRow="1" firstDataRow="1" firstDataCol="1"/>
  <pivotFields count="21">
    <pivotField showAll="0"/>
    <pivotField dataField="1"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BFBB1C-C55A-467B-92EF-D48C3A5A949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X3:Y9" firstHeaderRow="1" firstDataRow="1" firstDataCol="1"/>
  <pivotFields count="21">
    <pivotField showAll="0"/>
    <pivotField dataField="1"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showAll="0">
      <items count="3">
        <item x="0"/>
        <item x="1"/>
        <item t="default"/>
      </items>
    </pivotField>
    <pivotField showAll="0"/>
    <pivotField showAll="0">
      <items count="6">
        <item x="0"/>
        <item x="1"/>
        <item x="2"/>
        <item x="4"/>
        <item x="3"/>
        <item t="default"/>
      </items>
    </pivotField>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C5AD19-B0F5-4F2C-A179-5B236F61BB3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L7" firstHeaderRow="1" firstDataRow="1" firstDataCol="1"/>
  <pivotFields count="21">
    <pivotField showAll="0"/>
    <pivotField dataField="1"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58B26C-3399-4857-8C9E-4CB95230FB6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E9" firstHeaderRow="1" firstDataRow="1" firstDataCol="1"/>
  <pivotFields count="21">
    <pivotField showAll="0"/>
    <pivotField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showAll="0">
      <items count="3">
        <item x="0"/>
        <item x="1"/>
        <item t="default"/>
      </items>
    </pivotField>
    <pivotField showAll="0"/>
    <pivotField showAll="0"/>
    <pivotField showAll="0">
      <items count="6">
        <item x="1"/>
        <item x="0"/>
        <item x="4"/>
        <item x="3"/>
        <item x="2"/>
        <item t="default"/>
      </items>
    </pivotField>
    <pivotField showAll="0"/>
    <pivotField axis="axisRow" showAll="0">
      <items count="6">
        <item x="0"/>
        <item x="1"/>
        <item x="4"/>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AE452D-B8B5-41DC-B7B4-A15575EB115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3:V9" firstHeaderRow="0" firstDataRow="1" firstDataCol="1"/>
  <pivotFields count="21">
    <pivotField showAll="0"/>
    <pivotField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showAll="0">
      <items count="3">
        <item x="0"/>
        <item x="1"/>
        <item t="default"/>
      </items>
    </pivotField>
    <pivotField showAll="0"/>
    <pivotField showAll="0">
      <items count="6">
        <item x="0"/>
        <item x="1"/>
        <item x="2"/>
        <item x="4"/>
        <item x="3"/>
        <item t="default"/>
      </items>
    </pivotField>
    <pivotField showAll="0">
      <items count="6">
        <item x="1"/>
        <item x="0"/>
        <item x="4"/>
        <item x="3"/>
        <item x="2"/>
        <item t="default"/>
      </items>
    </pivotField>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dataField="1" showAll="0"/>
    <pivotField showAll="0"/>
    <pivotField showAll="0"/>
    <pivotField showAll="0"/>
    <pivotField dataField="1" showAll="0"/>
    <pivotField showAll="0"/>
    <pivotField showAll="0"/>
    <pivotField showAll="0">
      <items count="6">
        <item x="3"/>
        <item x="0"/>
        <item x="4"/>
        <item x="1"/>
        <item x="2"/>
        <item t="default"/>
      </items>
    </pivotField>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6" baseItem="0" numFmtId="167"/>
    <dataField name="Sum of Leave Taken" fld="16" baseField="0" baseItem="0"/>
  </dataFields>
  <formats count="3">
    <format dxfId="29">
      <pivotArea outline="0" collapsedLevelsAreSubtotals="1" fieldPosition="0">
        <references count="1">
          <reference field="4294967294" count="1" selected="0">
            <x v="0"/>
          </reference>
        </references>
      </pivotArea>
    </format>
    <format dxfId="5">
      <pivotArea collapsedLevelsAreSubtotals="1" fieldPosition="0">
        <references count="2">
          <reference field="4294967294" count="1" selected="0">
            <x v="0"/>
          </reference>
          <reference field="6" count="1">
            <x v="0"/>
          </reference>
        </references>
      </pivotArea>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6E8255-358E-4CB2-BEA2-B54F5818F45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7" firstHeaderRow="1" firstDataRow="1" firstDataCol="1"/>
  <pivotFields count="21">
    <pivotField showAll="0"/>
    <pivotField dataField="1" showAll="0">
      <items count="92">
        <item x="43"/>
        <item x="46"/>
        <item x="4"/>
        <item x="72"/>
        <item x="73"/>
        <item x="51"/>
        <item x="70"/>
        <item x="89"/>
        <item x="11"/>
        <item x="8"/>
        <item x="23"/>
        <item x="39"/>
        <item x="6"/>
        <item x="36"/>
        <item x="38"/>
        <item x="5"/>
        <item x="45"/>
        <item x="15"/>
        <item x="12"/>
        <item x="7"/>
        <item x="22"/>
        <item x="19"/>
        <item x="16"/>
        <item x="41"/>
        <item x="79"/>
        <item x="65"/>
        <item x="1"/>
        <item x="28"/>
        <item x="88"/>
        <item x="83"/>
        <item x="50"/>
        <item x="84"/>
        <item x="53"/>
        <item x="63"/>
        <item x="76"/>
        <item x="86"/>
        <item x="49"/>
        <item x="55"/>
        <item x="62"/>
        <item x="75"/>
        <item x="90"/>
        <item x="68"/>
        <item x="87"/>
        <item x="71"/>
        <item x="2"/>
        <item x="40"/>
        <item x="14"/>
        <item x="26"/>
        <item x="18"/>
        <item x="3"/>
        <item x="78"/>
        <item x="67"/>
        <item x="81"/>
        <item x="69"/>
        <item x="0"/>
        <item x="58"/>
        <item x="9"/>
        <item x="29"/>
        <item x="32"/>
        <item x="31"/>
        <item x="59"/>
        <item x="80"/>
        <item x="54"/>
        <item x="57"/>
        <item x="21"/>
        <item x="10"/>
        <item x="64"/>
        <item x="25"/>
        <item x="20"/>
        <item x="82"/>
        <item x="85"/>
        <item x="56"/>
        <item x="61"/>
        <item x="60"/>
        <item x="66"/>
        <item x="77"/>
        <item x="33"/>
        <item x="47"/>
        <item x="27"/>
        <item x="44"/>
        <item x="30"/>
        <item x="34"/>
        <item x="74"/>
        <item x="52"/>
        <item x="13"/>
        <item x="17"/>
        <item x="35"/>
        <item x="37"/>
        <item x="42"/>
        <item x="24"/>
        <item x="48"/>
        <item t="default"/>
      </items>
    </pivotField>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D1FE496-9235-47BD-95C5-5369B464025F}" sourceName="Gender">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19819738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EB0C68-7A88-46A2-ACA0-FC5BE72620A3}" sourceName="Region">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1981973877">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12725D8-79DE-4F60-9D9A-01509E55A06B}" sourceName="Department">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1981973877">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5B51592-3C82-4012-AEFA-3A11DAF11E31}" cache="Slicer_Gender" caption="Gender" columnCount="2" showCaption="0" style="SlicerStyleDark2 2" rowHeight="251883"/>
  <slicer name="Region" xr10:uid="{65E84CF8-CC0E-4F83-BC87-096030585ADE}" cache="Slicer_Region" caption="Region" columnCount="5" showCaption="0" style="SlicerStyleDark2 2" rowHeight="251883"/>
  <slicer name="Department" xr10:uid="{FD903D82-A57E-4633-8450-64EFD04E7B99}" cache="Slicer_Department" caption="Department" columnCount="5" showCaption="0" style="SlicerStyleDark2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86FF53-128E-480F-A6DB-1D8BB1938FA5}" name="Table1" displayName="Table1" ref="A1:U101" totalsRowShown="0" headerRowDxfId="28" dataDxfId="27">
  <autoFilter ref="A1:U101" xr:uid="{1A86FF53-128E-480F-A6DB-1D8BB1938FA5}"/>
  <tableColumns count="21">
    <tableColumn id="1" xr3:uid="{6FFC74B9-9956-45F6-BD2F-718CBC86D77C}" name="Employee ID" dataDxfId="26"/>
    <tableColumn id="2" xr3:uid="{147CE514-CFAB-41E1-9D64-7B0FD5FA3174}" name="Full Name" dataDxfId="25"/>
    <tableColumn id="3" xr3:uid="{807CC54B-8BAD-4F23-B3A8-21D70915115C}" name="Gender" dataDxfId="24"/>
    <tableColumn id="4" xr3:uid="{E3384F24-030F-4A13-A077-F4B2BEAA1C58}" name="Age" dataDxfId="23"/>
    <tableColumn id="5" xr3:uid="{B64F80DF-C7C9-40C6-8795-8CDBDEB15639}" name="Age range" dataDxfId="22"/>
    <tableColumn id="6" xr3:uid="{0A90333C-EA61-4F5A-BE2C-9BA469EF2600}" name="Region" dataDxfId="21"/>
    <tableColumn id="7" xr3:uid="{CF5CC118-9A5D-4C14-A75E-8548C619CDE1}" name="Job Title" dataDxfId="20"/>
    <tableColumn id="8" xr3:uid="{C3C578BA-705F-4AF9-88E3-73BCD56F7CD6}" name="Department" dataDxfId="19"/>
    <tableColumn id="9" xr3:uid="{FBDC3BF6-7E0A-4B8D-BCFB-41657FA3E070}" name="Manager/Supervisor" dataDxfId="18"/>
    <tableColumn id="10" xr3:uid="{708DC3F0-FA53-4B72-AA18-DC87CEE20FB3}" name="Date of Hire" dataDxfId="17"/>
    <tableColumn id="11" xr3:uid="{D2F08F6E-C2D1-4B92-A6BE-46A15F352BE9}" name="Employment Status" dataDxfId="16"/>
    <tableColumn id="12" xr3:uid="{FB1A7A1C-C9B9-441A-967D-94D56ABD0540}" name="Work Location" dataDxfId="15"/>
    <tableColumn id="13" xr3:uid="{A7F38156-A930-4B10-88FA-F3A844491896}" name="Salary" dataDxfId="14"/>
    <tableColumn id="14" xr3:uid="{BD7D17CA-2E5D-470C-B319-7963D174FBD0}" name="Pay Grade" dataDxfId="13"/>
    <tableColumn id="15" xr3:uid="{D6016C71-9EBD-4282-8AEC-AE5FD5F520CB}" name="Bonus/Allowances" dataDxfId="12"/>
    <tableColumn id="16" xr3:uid="{170C5320-333E-4EBE-A5AE-8050B6C327EE}" name="Insurance Details" dataDxfId="11"/>
    <tableColumn id="17" xr3:uid="{C0C872ED-DF56-467C-9103-E553A528B5C5}" name="Leave Taken" dataDxfId="10"/>
    <tableColumn id="18" xr3:uid="{AA1A3A9D-01C6-4D98-95DF-BC9121D6A4EE}" name="Performance Rating" dataDxfId="9"/>
    <tableColumn id="19" xr3:uid="{AFC050B7-1F58-4FD6-836F-26D8981F8751}" name="Training Programs Attended" dataDxfId="8"/>
    <tableColumn id="20" xr3:uid="{4F456ADA-2E3A-4B3A-A7E0-725C369E8A82}" name="Skills" dataDxfId="7"/>
    <tableColumn id="21" xr3:uid="{36FAF2CC-AC6F-434C-B68B-811DF47BBC72}" name="Certifications" dataDxfId="6"/>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578-CB19-449B-A4BC-A0E679FD137B}">
  <sheetPr codeName="Sheet1"/>
  <dimension ref="A1:Z17"/>
  <sheetViews>
    <sheetView zoomScaleNormal="100" workbookViewId="0">
      <selection activeCell="AC5" sqref="AC5"/>
    </sheetView>
  </sheetViews>
  <sheetFormatPr defaultRowHeight="14.5"/>
  <cols>
    <col min="1" max="1" width="6" customWidth="1"/>
    <col min="2" max="2" width="9.453125" customWidth="1"/>
    <col min="4" max="4" width="23.6328125" customWidth="1"/>
    <col min="5" max="5" width="11" customWidth="1"/>
    <col min="9" max="9" width="5" customWidth="1"/>
    <col min="10" max="10" width="3.36328125" customWidth="1"/>
    <col min="11" max="11" width="12.36328125" customWidth="1"/>
    <col min="14" max="14" width="3.7265625" customWidth="1"/>
    <col min="19" max="19" width="4.26953125" customWidth="1"/>
    <col min="21" max="21" width="13.26953125" bestFit="1" customWidth="1"/>
  </cols>
  <sheetData>
    <row r="1" spans="1:26">
      <c r="C1" s="16" t="s">
        <v>320</v>
      </c>
      <c r="D1" s="17"/>
      <c r="G1" s="18" t="s">
        <v>321</v>
      </c>
      <c r="H1" s="19"/>
      <c r="I1" s="19"/>
      <c r="K1" s="16" t="s">
        <v>322</v>
      </c>
      <c r="L1" s="17"/>
      <c r="M1" s="17"/>
      <c r="O1" s="16" t="s">
        <v>328</v>
      </c>
      <c r="P1" s="17"/>
      <c r="Q1" s="17"/>
      <c r="T1" s="16" t="s">
        <v>325</v>
      </c>
      <c r="U1" s="17"/>
      <c r="V1" s="17"/>
      <c r="X1" s="16" t="s">
        <v>325</v>
      </c>
      <c r="Y1" s="17"/>
      <c r="Z1" s="17"/>
    </row>
    <row r="3" spans="1:26">
      <c r="A3" s="4" t="s">
        <v>309</v>
      </c>
      <c r="B3" t="s">
        <v>311</v>
      </c>
      <c r="D3" s="4" t="s">
        <v>309</v>
      </c>
      <c r="E3" t="s">
        <v>312</v>
      </c>
      <c r="G3" s="4" t="s">
        <v>309</v>
      </c>
      <c r="H3" t="s">
        <v>311</v>
      </c>
      <c r="K3" s="4" t="s">
        <v>309</v>
      </c>
      <c r="L3" t="s">
        <v>311</v>
      </c>
      <c r="O3" s="4" t="s">
        <v>311</v>
      </c>
      <c r="P3" s="4" t="s">
        <v>324</v>
      </c>
      <c r="T3" s="4" t="s">
        <v>309</v>
      </c>
      <c r="U3" t="s">
        <v>326</v>
      </c>
      <c r="V3" t="s">
        <v>327</v>
      </c>
      <c r="X3" s="4" t="s">
        <v>309</v>
      </c>
      <c r="Y3" t="s">
        <v>311</v>
      </c>
    </row>
    <row r="4" spans="1:26">
      <c r="A4" s="5" t="s">
        <v>63</v>
      </c>
      <c r="B4" s="6">
        <v>31</v>
      </c>
      <c r="D4" s="5" t="s">
        <v>26</v>
      </c>
      <c r="E4" s="6">
        <v>2.7142857142857144</v>
      </c>
      <c r="G4" s="5" t="s">
        <v>75</v>
      </c>
      <c r="H4" s="6">
        <v>19</v>
      </c>
      <c r="K4" s="5" t="s">
        <v>44</v>
      </c>
      <c r="L4" s="6">
        <v>37</v>
      </c>
      <c r="O4" s="4" t="s">
        <v>309</v>
      </c>
      <c r="P4" t="s">
        <v>22</v>
      </c>
      <c r="Q4" t="s">
        <v>37</v>
      </c>
      <c r="R4" t="s">
        <v>310</v>
      </c>
      <c r="T4" s="5" t="s">
        <v>121</v>
      </c>
      <c r="U4" s="21">
        <v>991270</v>
      </c>
      <c r="V4" s="6">
        <v>207</v>
      </c>
      <c r="X4" s="5" t="s">
        <v>39</v>
      </c>
      <c r="Y4" s="6">
        <v>26</v>
      </c>
    </row>
    <row r="5" spans="1:26">
      <c r="A5" s="5" t="s">
        <v>29</v>
      </c>
      <c r="B5" s="6">
        <v>40</v>
      </c>
      <c r="D5" s="5" t="s">
        <v>41</v>
      </c>
      <c r="E5" s="6">
        <v>3</v>
      </c>
      <c r="G5" s="5" t="s">
        <v>34</v>
      </c>
      <c r="H5" s="6">
        <v>25</v>
      </c>
      <c r="K5" s="5" t="s">
        <v>30</v>
      </c>
      <c r="L5" s="6">
        <v>30</v>
      </c>
      <c r="O5" s="5" t="s">
        <v>23</v>
      </c>
      <c r="P5" s="6">
        <v>8</v>
      </c>
      <c r="Q5" s="6">
        <v>7</v>
      </c>
      <c r="R5" s="6">
        <v>15</v>
      </c>
      <c r="T5" s="5" t="s">
        <v>40</v>
      </c>
      <c r="U5" s="21">
        <v>1141425</v>
      </c>
      <c r="V5" s="6">
        <v>159</v>
      </c>
      <c r="X5" s="5" t="s">
        <v>24</v>
      </c>
      <c r="Y5" s="6">
        <v>18</v>
      </c>
    </row>
    <row r="6" spans="1:26">
      <c r="A6" s="5" t="s">
        <v>111</v>
      </c>
      <c r="B6" s="6">
        <v>28</v>
      </c>
      <c r="D6" s="5" t="s">
        <v>81</v>
      </c>
      <c r="E6" s="6">
        <v>2.6875</v>
      </c>
      <c r="G6" s="5" t="s">
        <v>96</v>
      </c>
      <c r="H6" s="6">
        <v>15</v>
      </c>
      <c r="K6" s="5" t="s">
        <v>54</v>
      </c>
      <c r="L6" s="6">
        <v>32</v>
      </c>
      <c r="O6" s="5" t="s">
        <v>38</v>
      </c>
      <c r="P6" s="6">
        <v>13</v>
      </c>
      <c r="Q6" s="6">
        <v>11</v>
      </c>
      <c r="R6" s="6">
        <v>24</v>
      </c>
      <c r="T6" s="5" t="s">
        <v>72</v>
      </c>
      <c r="U6" s="21">
        <v>1258879</v>
      </c>
      <c r="V6" s="6">
        <v>212</v>
      </c>
      <c r="X6" s="5" t="s">
        <v>102</v>
      </c>
      <c r="Y6" s="6">
        <v>17</v>
      </c>
    </row>
    <row r="7" spans="1:26">
      <c r="A7" s="5" t="s">
        <v>310</v>
      </c>
      <c r="B7" s="6">
        <v>99</v>
      </c>
      <c r="D7" s="5" t="s">
        <v>51</v>
      </c>
      <c r="E7" s="6">
        <v>3.04</v>
      </c>
      <c r="G7" s="5" t="s">
        <v>56</v>
      </c>
      <c r="H7" s="6">
        <v>19</v>
      </c>
      <c r="K7" s="5" t="s">
        <v>310</v>
      </c>
      <c r="L7" s="6">
        <v>99</v>
      </c>
      <c r="O7" s="5" t="s">
        <v>59</v>
      </c>
      <c r="P7" s="6">
        <v>11</v>
      </c>
      <c r="Q7" s="6">
        <v>15</v>
      </c>
      <c r="R7" s="6">
        <v>26</v>
      </c>
      <c r="T7" s="5" t="s">
        <v>50</v>
      </c>
      <c r="U7" s="21">
        <v>1573579</v>
      </c>
      <c r="V7" s="6">
        <v>234</v>
      </c>
      <c r="X7" s="5" t="s">
        <v>80</v>
      </c>
      <c r="Y7" s="6">
        <v>24</v>
      </c>
    </row>
    <row r="8" spans="1:26">
      <c r="D8" s="5" t="s">
        <v>60</v>
      </c>
      <c r="E8" s="6">
        <v>3</v>
      </c>
      <c r="G8" s="5" t="s">
        <v>66</v>
      </c>
      <c r="H8" s="6">
        <v>21</v>
      </c>
      <c r="O8" s="5" t="s">
        <v>98</v>
      </c>
      <c r="P8" s="6">
        <v>8</v>
      </c>
      <c r="Q8" s="6">
        <v>11</v>
      </c>
      <c r="R8" s="6">
        <v>19</v>
      </c>
      <c r="T8" s="5" t="s">
        <v>25</v>
      </c>
      <c r="U8" s="21">
        <v>1369188</v>
      </c>
      <c r="V8" s="6">
        <v>238</v>
      </c>
      <c r="X8" s="5" t="s">
        <v>49</v>
      </c>
      <c r="Y8" s="6">
        <v>14</v>
      </c>
    </row>
    <row r="9" spans="1:26">
      <c r="D9" s="5" t="s">
        <v>310</v>
      </c>
      <c r="E9" s="6">
        <v>2.9</v>
      </c>
      <c r="G9" s="5" t="s">
        <v>310</v>
      </c>
      <c r="H9" s="6">
        <v>99</v>
      </c>
      <c r="O9" s="5" t="s">
        <v>68</v>
      </c>
      <c r="P9" s="6">
        <v>8</v>
      </c>
      <c r="Q9" s="6">
        <v>7</v>
      </c>
      <c r="R9" s="6">
        <v>15</v>
      </c>
      <c r="T9" s="5" t="s">
        <v>310</v>
      </c>
      <c r="U9" s="21">
        <v>6334341</v>
      </c>
      <c r="V9" s="6">
        <v>1050</v>
      </c>
      <c r="X9" s="5" t="s">
        <v>310</v>
      </c>
      <c r="Y9" s="6">
        <v>99</v>
      </c>
    </row>
    <row r="10" spans="1:26">
      <c r="K10" s="5" t="s">
        <v>44</v>
      </c>
      <c r="L10">
        <f>GETPIVOTDATA("Full Name",$L$4,"Work Location",K10)</f>
        <v>37</v>
      </c>
      <c r="O10" s="5" t="s">
        <v>310</v>
      </c>
      <c r="P10" s="6">
        <v>48</v>
      </c>
      <c r="Q10" s="6">
        <v>51</v>
      </c>
      <c r="R10" s="6">
        <v>99</v>
      </c>
    </row>
    <row r="11" spans="1:26">
      <c r="K11" s="5" t="s">
        <v>30</v>
      </c>
      <c r="L11">
        <f>GETPIVOTDATA("Full Name",$L$4,"Work Location",K11)</f>
        <v>30</v>
      </c>
    </row>
    <row r="12" spans="1:26">
      <c r="D12" s="9" t="s">
        <v>313</v>
      </c>
      <c r="E12" s="10" t="s">
        <v>314</v>
      </c>
      <c r="K12" s="5" t="s">
        <v>54</v>
      </c>
      <c r="L12">
        <f>GETPIVOTDATA("Full Name",$L$4,"Work Location",K12)</f>
        <v>32</v>
      </c>
      <c r="T12" s="7" t="s">
        <v>121</v>
      </c>
      <c r="U12" s="20">
        <f>GETPIVOTDATA("Sum of Salary",$T$3,"Job Title",T12)</f>
        <v>991270</v>
      </c>
      <c r="V12" s="8">
        <f>GETPIVOTDATA("Sum of Leave Taken",$T$3,"Job Title",T12)</f>
        <v>207</v>
      </c>
    </row>
    <row r="13" spans="1:26">
      <c r="D13" s="7" t="s">
        <v>315</v>
      </c>
      <c r="E13" s="11">
        <f>GETPIVOTDATA("Full Name",$A$3)</f>
        <v>99</v>
      </c>
      <c r="K13" s="5" t="s">
        <v>323</v>
      </c>
      <c r="L13">
        <f>SUM(L10:L12)</f>
        <v>99</v>
      </c>
      <c r="T13" s="7" t="s">
        <v>40</v>
      </c>
      <c r="U13" s="20">
        <f t="shared" ref="U13:U16" si="0">GETPIVOTDATA("Sum of Salary",$T$3,"Job Title",T13)</f>
        <v>1141425</v>
      </c>
      <c r="V13" s="8">
        <f>GETPIVOTDATA("Sum of Leave Taken",$T$3,"Job Title",T13)</f>
        <v>159</v>
      </c>
    </row>
    <row r="14" spans="1:26">
      <c r="D14" s="7" t="s">
        <v>316</v>
      </c>
      <c r="E14" s="8">
        <f>GETPIVOTDATA("Performance Rating",$D$3)</f>
        <v>2.9</v>
      </c>
      <c r="O14" s="14" t="s">
        <v>2</v>
      </c>
      <c r="P14" s="14" t="s">
        <v>323</v>
      </c>
      <c r="Q14" s="14"/>
      <c r="R14" s="14"/>
      <c r="T14" s="7" t="s">
        <v>72</v>
      </c>
      <c r="U14" s="20">
        <f t="shared" si="0"/>
        <v>1258879</v>
      </c>
      <c r="V14" s="8">
        <f>GETPIVOTDATA("Sum of Leave Taken",$T$3,"Job Title",T14)</f>
        <v>212</v>
      </c>
    </row>
    <row r="15" spans="1:26">
      <c r="D15" s="7" t="s">
        <v>317</v>
      </c>
      <c r="E15" s="8">
        <f>GETPIVOTDATA("Full Name",$A$3,"Employment Status","Part-Time")</f>
        <v>28</v>
      </c>
      <c r="K15" s="8" t="s">
        <v>44</v>
      </c>
      <c r="L15" s="12">
        <f>SUM(L10/SUM($L$10:$L$12))</f>
        <v>0.37373737373737376</v>
      </c>
      <c r="M15" s="12">
        <f>1-L15</f>
        <v>0.6262626262626263</v>
      </c>
      <c r="O15" s="13" t="s">
        <v>37</v>
      </c>
      <c r="P15" s="13">
        <f>GETPIVOTDATA("Full Name",$O$3,"Gender","Male")</f>
        <v>51</v>
      </c>
      <c r="Q15" s="15">
        <f>SUM(P15)/SUM($P$15:$P$16)</f>
        <v>0.51515151515151514</v>
      </c>
      <c r="R15" s="15">
        <f>1-Q15</f>
        <v>0.48484848484848486</v>
      </c>
      <c r="T15" s="7" t="s">
        <v>50</v>
      </c>
      <c r="U15" s="20">
        <f t="shared" si="0"/>
        <v>1573579</v>
      </c>
      <c r="V15" s="8">
        <f>GETPIVOTDATA("Sum of Leave Taken",$T$3,"Job Title",T15)</f>
        <v>234</v>
      </c>
    </row>
    <row r="16" spans="1:26">
      <c r="D16" s="7" t="s">
        <v>318</v>
      </c>
      <c r="E16" s="8">
        <f>GETPIVOTDATA("Full Name",$A$3,"Employment Status","Full-Time")</f>
        <v>40</v>
      </c>
      <c r="K16" s="8" t="s">
        <v>30</v>
      </c>
      <c r="L16" s="12">
        <f>SUM(L11/SUM($L$10:$L$12))</f>
        <v>0.30303030303030304</v>
      </c>
      <c r="M16" s="12">
        <f>1-L16</f>
        <v>0.69696969696969702</v>
      </c>
      <c r="O16" s="8" t="s">
        <v>22</v>
      </c>
      <c r="P16" s="8">
        <f>GETPIVOTDATA("Full Name",$O$3,"Gender","Female")</f>
        <v>48</v>
      </c>
      <c r="Q16" s="15">
        <f>SUM(P16)/SUM($P$15:$P$16)</f>
        <v>0.48484848484848486</v>
      </c>
      <c r="R16" s="15">
        <f>1-Q16</f>
        <v>0.51515151515151514</v>
      </c>
      <c r="T16" s="7" t="s">
        <v>25</v>
      </c>
      <c r="U16" s="20">
        <f t="shared" si="0"/>
        <v>1369188</v>
      </c>
      <c r="V16" s="8">
        <f>GETPIVOTDATA("Sum of Leave Taken",$T$3,"Job Title",T16)</f>
        <v>238</v>
      </c>
    </row>
    <row r="17" spans="4:13">
      <c r="D17" s="7" t="s">
        <v>319</v>
      </c>
      <c r="E17" s="8">
        <f>GETPIVOTDATA("Full Name",$A$3,"Employment Status","Contract")</f>
        <v>31</v>
      </c>
      <c r="K17" s="8" t="s">
        <v>54</v>
      </c>
      <c r="L17" s="12">
        <f>SUM(L12/SUM($L$10:$L$12))</f>
        <v>0.32323232323232326</v>
      </c>
      <c r="M17" s="12">
        <f>1-L17</f>
        <v>0.67676767676767668</v>
      </c>
    </row>
  </sheetData>
  <mergeCells count="6">
    <mergeCell ref="T1:V1"/>
    <mergeCell ref="X1:Z1"/>
    <mergeCell ref="C1:D1"/>
    <mergeCell ref="G1:I1"/>
    <mergeCell ref="K1:M1"/>
    <mergeCell ref="O1:Q1"/>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12AA-40E9-4828-9958-C70FD3D3E57F}">
  <sheetPr codeName="Sheet2"/>
  <dimension ref="A1"/>
  <sheetViews>
    <sheetView showGridLines="0" showRowColHeaders="0" tabSelected="1" zoomScale="71" zoomScaleNormal="85" workbookViewId="0">
      <selection activeCell="A20" sqref="A20"/>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EE9B-E269-42CB-BD0D-97D554C48290}">
  <sheetPr codeName="Sheet3"/>
  <dimension ref="A1:U101"/>
  <sheetViews>
    <sheetView topLeftCell="A2" workbookViewId="0">
      <selection activeCell="A18" sqref="A2:U101"/>
    </sheetView>
  </sheetViews>
  <sheetFormatPr defaultRowHeight="14.5"/>
  <cols>
    <col min="1" max="1" width="17.54296875" bestFit="1" customWidth="1"/>
    <col min="2" max="2" width="16.7265625" bestFit="1" customWidth="1"/>
    <col min="3" max="3" width="12.26953125" bestFit="1" customWidth="1"/>
    <col min="4" max="4" width="9.08984375" bestFit="1" customWidth="1"/>
    <col min="5" max="5" width="15" bestFit="1" customWidth="1"/>
    <col min="6" max="6" width="12.1796875" bestFit="1" customWidth="1"/>
    <col min="7" max="7" width="13.6328125" bestFit="1" customWidth="1"/>
    <col min="8" max="8" width="16.453125" bestFit="1" customWidth="1"/>
    <col min="9" max="9" width="24.7265625" bestFit="1" customWidth="1"/>
    <col min="10" max="10" width="16.54296875" bestFit="1" customWidth="1"/>
    <col min="11" max="11" width="24.26953125" bestFit="1" customWidth="1"/>
    <col min="12" max="12" width="19.26953125" bestFit="1" customWidth="1"/>
    <col min="13" max="13" width="11.26953125" bestFit="1" customWidth="1"/>
    <col min="14" max="14" width="15.1796875" bestFit="1" customWidth="1"/>
    <col min="15" max="15" width="23.26953125" bestFit="1" customWidth="1"/>
    <col min="16" max="16" width="22" bestFit="1" customWidth="1"/>
    <col min="17" max="17" width="17.1796875" bestFit="1" customWidth="1"/>
    <col min="18" max="18" width="24.54296875" bestFit="1" customWidth="1"/>
    <col min="19" max="19" width="32.7265625" bestFit="1" customWidth="1"/>
    <col min="20" max="20" width="14.7265625" bestFit="1" customWidth="1"/>
    <col min="21" max="21" width="19.81640625" bestFit="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10001</v>
      </c>
      <c r="B2" s="2" t="s">
        <v>21</v>
      </c>
      <c r="C2" s="2" t="s">
        <v>22</v>
      </c>
      <c r="D2" s="2">
        <v>25</v>
      </c>
      <c r="E2" s="2" t="s">
        <v>23</v>
      </c>
      <c r="F2" s="2" t="s">
        <v>24</v>
      </c>
      <c r="G2" s="2" t="s">
        <v>25</v>
      </c>
      <c r="H2" s="2" t="s">
        <v>26</v>
      </c>
      <c r="I2" s="2" t="s">
        <v>27</v>
      </c>
      <c r="J2" s="2" t="s">
        <v>28</v>
      </c>
      <c r="K2" s="2" t="s">
        <v>29</v>
      </c>
      <c r="L2" s="2" t="s">
        <v>30</v>
      </c>
      <c r="M2" s="2">
        <v>53700</v>
      </c>
      <c r="N2" s="2" t="s">
        <v>31</v>
      </c>
      <c r="O2" s="2">
        <v>1463</v>
      </c>
      <c r="P2" s="2" t="s">
        <v>32</v>
      </c>
      <c r="Q2" s="2">
        <v>1</v>
      </c>
      <c r="R2" s="2">
        <v>1</v>
      </c>
      <c r="S2" s="2" t="s">
        <v>33</v>
      </c>
      <c r="T2" s="2" t="s">
        <v>34</v>
      </c>
      <c r="U2" s="2" t="s">
        <v>35</v>
      </c>
    </row>
    <row r="3" spans="1:21">
      <c r="A3" s="2">
        <v>10002</v>
      </c>
      <c r="B3" s="2" t="s">
        <v>36</v>
      </c>
      <c r="C3" s="2" t="s">
        <v>37</v>
      </c>
      <c r="D3" s="2">
        <v>27</v>
      </c>
      <c r="E3" s="2" t="s">
        <v>38</v>
      </c>
      <c r="F3" s="2" t="s">
        <v>39</v>
      </c>
      <c r="G3" s="2" t="s">
        <v>40</v>
      </c>
      <c r="H3" s="2" t="s">
        <v>41</v>
      </c>
      <c r="I3" s="2" t="s">
        <v>42</v>
      </c>
      <c r="J3" s="2" t="s">
        <v>43</v>
      </c>
      <c r="K3" s="2" t="s">
        <v>29</v>
      </c>
      <c r="L3" s="2" t="s">
        <v>44</v>
      </c>
      <c r="M3" s="2">
        <v>91091</v>
      </c>
      <c r="N3" s="2" t="s">
        <v>45</v>
      </c>
      <c r="O3" s="2">
        <v>1024</v>
      </c>
      <c r="P3" s="2" t="s">
        <v>46</v>
      </c>
      <c r="Q3" s="2">
        <v>19</v>
      </c>
      <c r="R3" s="2">
        <v>4</v>
      </c>
      <c r="S3" s="2" t="s">
        <v>47</v>
      </c>
      <c r="T3" s="2" t="s">
        <v>34</v>
      </c>
      <c r="U3" s="2" t="s">
        <v>35</v>
      </c>
    </row>
    <row r="4" spans="1:21">
      <c r="A4" s="2">
        <v>10003</v>
      </c>
      <c r="B4" s="2" t="s">
        <v>48</v>
      </c>
      <c r="C4" s="2" t="s">
        <v>37</v>
      </c>
      <c r="D4" s="2">
        <v>34</v>
      </c>
      <c r="E4" s="2" t="s">
        <v>38</v>
      </c>
      <c r="F4" s="2" t="s">
        <v>49</v>
      </c>
      <c r="G4" s="2" t="s">
        <v>50</v>
      </c>
      <c r="H4" s="2" t="s">
        <v>51</v>
      </c>
      <c r="I4" s="2" t="s">
        <v>52</v>
      </c>
      <c r="J4" s="2" t="s">
        <v>53</v>
      </c>
      <c r="K4" s="2" t="s">
        <v>29</v>
      </c>
      <c r="L4" s="2" t="s">
        <v>54</v>
      </c>
      <c r="M4" s="2">
        <v>57538</v>
      </c>
      <c r="N4" s="2" t="s">
        <v>55</v>
      </c>
      <c r="O4" s="2">
        <v>1674</v>
      </c>
      <c r="P4" s="2" t="s">
        <v>46</v>
      </c>
      <c r="Q4" s="2">
        <v>8</v>
      </c>
      <c r="R4" s="2">
        <v>1</v>
      </c>
      <c r="S4" s="2" t="s">
        <v>46</v>
      </c>
      <c r="T4" s="2" t="s">
        <v>56</v>
      </c>
      <c r="U4" s="2" t="s">
        <v>57</v>
      </c>
    </row>
    <row r="5" spans="1:21">
      <c r="A5" s="2">
        <v>10004</v>
      </c>
      <c r="B5" s="2" t="s">
        <v>58</v>
      </c>
      <c r="C5" s="2" t="s">
        <v>22</v>
      </c>
      <c r="D5" s="2">
        <v>41</v>
      </c>
      <c r="E5" s="2" t="s">
        <v>59</v>
      </c>
      <c r="F5" s="2" t="s">
        <v>49</v>
      </c>
      <c r="G5" s="2" t="s">
        <v>25</v>
      </c>
      <c r="H5" s="2" t="s">
        <v>60</v>
      </c>
      <c r="I5" s="2" t="s">
        <v>61</v>
      </c>
      <c r="J5" s="2" t="s">
        <v>62</v>
      </c>
      <c r="K5" s="2" t="s">
        <v>63</v>
      </c>
      <c r="L5" s="2" t="s">
        <v>30</v>
      </c>
      <c r="M5" s="2">
        <v>62993</v>
      </c>
      <c r="N5" s="2" t="s">
        <v>64</v>
      </c>
      <c r="O5" s="2">
        <v>2695</v>
      </c>
      <c r="P5" s="2" t="s">
        <v>65</v>
      </c>
      <c r="Q5" s="2">
        <v>0</v>
      </c>
      <c r="R5" s="2">
        <v>2</v>
      </c>
      <c r="S5" s="2" t="s">
        <v>46</v>
      </c>
      <c r="T5" s="2" t="s">
        <v>66</v>
      </c>
      <c r="U5" s="2" t="s">
        <v>46</v>
      </c>
    </row>
    <row r="6" spans="1:21">
      <c r="A6" s="2">
        <v>10005</v>
      </c>
      <c r="B6" s="2" t="s">
        <v>67</v>
      </c>
      <c r="C6" s="2" t="s">
        <v>37</v>
      </c>
      <c r="D6" s="2">
        <v>56</v>
      </c>
      <c r="E6" s="2" t="s">
        <v>68</v>
      </c>
      <c r="F6" s="2" t="s">
        <v>24</v>
      </c>
      <c r="G6" s="2" t="s">
        <v>25</v>
      </c>
      <c r="H6" s="2" t="s">
        <v>51</v>
      </c>
      <c r="I6" s="2" t="s">
        <v>69</v>
      </c>
      <c r="J6" s="2" t="s">
        <v>70</v>
      </c>
      <c r="K6" s="2" t="s">
        <v>63</v>
      </c>
      <c r="L6" s="2" t="s">
        <v>44</v>
      </c>
      <c r="M6" s="2">
        <v>45773</v>
      </c>
      <c r="N6" s="2" t="s">
        <v>64</v>
      </c>
      <c r="O6" s="2">
        <v>8776</v>
      </c>
      <c r="P6" s="2" t="s">
        <v>32</v>
      </c>
      <c r="Q6" s="2">
        <v>16</v>
      </c>
      <c r="R6" s="2">
        <v>4</v>
      </c>
      <c r="S6" s="2" t="s">
        <v>33</v>
      </c>
      <c r="T6" s="2" t="s">
        <v>66</v>
      </c>
      <c r="U6" s="2" t="s">
        <v>46</v>
      </c>
    </row>
    <row r="7" spans="1:21">
      <c r="A7" s="2">
        <v>10006</v>
      </c>
      <c r="B7" s="2" t="s">
        <v>71</v>
      </c>
      <c r="C7" s="2" t="s">
        <v>22</v>
      </c>
      <c r="D7" s="2">
        <v>28</v>
      </c>
      <c r="E7" s="2" t="s">
        <v>38</v>
      </c>
      <c r="F7" s="2" t="s">
        <v>49</v>
      </c>
      <c r="G7" s="2" t="s">
        <v>72</v>
      </c>
      <c r="H7" s="2" t="s">
        <v>51</v>
      </c>
      <c r="I7" s="2" t="s">
        <v>73</v>
      </c>
      <c r="J7" s="2" t="s">
        <v>74</v>
      </c>
      <c r="K7" s="2" t="s">
        <v>29</v>
      </c>
      <c r="L7" s="2" t="s">
        <v>44</v>
      </c>
      <c r="M7" s="2">
        <v>96249</v>
      </c>
      <c r="N7" s="2" t="s">
        <v>31</v>
      </c>
      <c r="O7" s="2">
        <v>4826</v>
      </c>
      <c r="P7" s="2" t="s">
        <v>65</v>
      </c>
      <c r="Q7" s="2">
        <v>7</v>
      </c>
      <c r="R7" s="2">
        <v>3</v>
      </c>
      <c r="S7" s="2" t="s">
        <v>33</v>
      </c>
      <c r="T7" s="2" t="s">
        <v>75</v>
      </c>
      <c r="U7" s="2" t="s">
        <v>35</v>
      </c>
    </row>
    <row r="8" spans="1:21">
      <c r="A8" s="2">
        <v>10007</v>
      </c>
      <c r="B8" s="2" t="s">
        <v>76</v>
      </c>
      <c r="C8" s="2" t="s">
        <v>22</v>
      </c>
      <c r="D8" s="2">
        <v>20</v>
      </c>
      <c r="E8" s="2" t="s">
        <v>23</v>
      </c>
      <c r="F8" s="2" t="s">
        <v>39</v>
      </c>
      <c r="G8" s="2" t="s">
        <v>50</v>
      </c>
      <c r="H8" s="2" t="s">
        <v>51</v>
      </c>
      <c r="I8" s="2" t="s">
        <v>77</v>
      </c>
      <c r="J8" s="2" t="s">
        <v>78</v>
      </c>
      <c r="K8" s="2" t="s">
        <v>29</v>
      </c>
      <c r="L8" s="2" t="s">
        <v>54</v>
      </c>
      <c r="M8" s="2">
        <v>61596</v>
      </c>
      <c r="N8" s="2" t="s">
        <v>31</v>
      </c>
      <c r="O8" s="2">
        <v>8818</v>
      </c>
      <c r="P8" s="2" t="s">
        <v>65</v>
      </c>
      <c r="Q8" s="2">
        <v>4</v>
      </c>
      <c r="R8" s="2">
        <v>2</v>
      </c>
      <c r="S8" s="2" t="s">
        <v>33</v>
      </c>
      <c r="T8" s="2" t="s">
        <v>56</v>
      </c>
      <c r="U8" s="2" t="s">
        <v>46</v>
      </c>
    </row>
    <row r="9" spans="1:21">
      <c r="A9" s="2">
        <v>10008</v>
      </c>
      <c r="B9" s="2" t="s">
        <v>79</v>
      </c>
      <c r="C9" s="2" t="s">
        <v>22</v>
      </c>
      <c r="D9" s="2">
        <v>58</v>
      </c>
      <c r="E9" s="2" t="s">
        <v>68</v>
      </c>
      <c r="F9" s="2" t="s">
        <v>80</v>
      </c>
      <c r="G9" s="2" t="s">
        <v>40</v>
      </c>
      <c r="H9" s="2" t="s">
        <v>81</v>
      </c>
      <c r="I9" s="2" t="s">
        <v>82</v>
      </c>
      <c r="J9" s="2" t="s">
        <v>83</v>
      </c>
      <c r="K9" s="2" t="s">
        <v>29</v>
      </c>
      <c r="L9" s="2" t="s">
        <v>54</v>
      </c>
      <c r="M9" s="2">
        <v>97869</v>
      </c>
      <c r="N9" s="2" t="s">
        <v>64</v>
      </c>
      <c r="O9" s="2">
        <v>1966</v>
      </c>
      <c r="P9" s="2" t="s">
        <v>32</v>
      </c>
      <c r="Q9" s="2">
        <v>10</v>
      </c>
      <c r="R9" s="2">
        <v>1</v>
      </c>
      <c r="S9" s="2" t="s">
        <v>33</v>
      </c>
      <c r="T9" s="2" t="s">
        <v>34</v>
      </c>
      <c r="U9" s="2" t="s">
        <v>35</v>
      </c>
    </row>
    <row r="10" spans="1:21">
      <c r="A10" s="2">
        <v>10009</v>
      </c>
      <c r="B10" s="2" t="s">
        <v>84</v>
      </c>
      <c r="C10" s="2" t="s">
        <v>22</v>
      </c>
      <c r="D10" s="2">
        <v>44</v>
      </c>
      <c r="E10" s="2" t="s">
        <v>59</v>
      </c>
      <c r="F10" s="2" t="s">
        <v>80</v>
      </c>
      <c r="G10" s="2" t="s">
        <v>50</v>
      </c>
      <c r="H10" s="2" t="s">
        <v>51</v>
      </c>
      <c r="I10" s="2" t="s">
        <v>85</v>
      </c>
      <c r="J10" s="2" t="s">
        <v>86</v>
      </c>
      <c r="K10" s="2" t="s">
        <v>29</v>
      </c>
      <c r="L10" s="2" t="s">
        <v>30</v>
      </c>
      <c r="M10" s="2">
        <v>81235</v>
      </c>
      <c r="N10" s="2" t="s">
        <v>64</v>
      </c>
      <c r="O10" s="2">
        <v>6553</v>
      </c>
      <c r="P10" s="2" t="s">
        <v>46</v>
      </c>
      <c r="Q10" s="2">
        <v>16</v>
      </c>
      <c r="R10" s="2">
        <v>2</v>
      </c>
      <c r="S10" s="2" t="s">
        <v>46</v>
      </c>
      <c r="T10" s="2" t="s">
        <v>56</v>
      </c>
      <c r="U10" s="2" t="s">
        <v>35</v>
      </c>
    </row>
    <row r="11" spans="1:21">
      <c r="A11" s="2">
        <v>10010</v>
      </c>
      <c r="B11" s="2" t="s">
        <v>87</v>
      </c>
      <c r="C11" s="2" t="s">
        <v>22</v>
      </c>
      <c r="D11" s="2">
        <v>29</v>
      </c>
      <c r="E11" s="2" t="s">
        <v>38</v>
      </c>
      <c r="F11" s="2" t="s">
        <v>39</v>
      </c>
      <c r="G11" s="2" t="s">
        <v>50</v>
      </c>
      <c r="H11" s="2" t="s">
        <v>60</v>
      </c>
      <c r="I11" s="2" t="s">
        <v>88</v>
      </c>
      <c r="J11" s="2" t="s">
        <v>89</v>
      </c>
      <c r="K11" s="2" t="s">
        <v>29</v>
      </c>
      <c r="L11" s="2" t="s">
        <v>44</v>
      </c>
      <c r="M11" s="2">
        <v>87852</v>
      </c>
      <c r="N11" s="2" t="s">
        <v>64</v>
      </c>
      <c r="O11" s="2">
        <v>4980</v>
      </c>
      <c r="P11" s="2" t="s">
        <v>65</v>
      </c>
      <c r="Q11" s="2">
        <v>19</v>
      </c>
      <c r="R11" s="2">
        <v>3</v>
      </c>
      <c r="S11" s="2" t="s">
        <v>46</v>
      </c>
      <c r="T11" s="2" t="s">
        <v>66</v>
      </c>
      <c r="U11" s="2" t="s">
        <v>35</v>
      </c>
    </row>
    <row r="12" spans="1:21">
      <c r="A12" s="2">
        <v>10011</v>
      </c>
      <c r="B12" s="2" t="s">
        <v>90</v>
      </c>
      <c r="C12" s="2" t="s">
        <v>37</v>
      </c>
      <c r="D12" s="2">
        <v>23</v>
      </c>
      <c r="E12" s="2" t="s">
        <v>23</v>
      </c>
      <c r="F12" s="2" t="s">
        <v>80</v>
      </c>
      <c r="G12" s="2" t="s">
        <v>25</v>
      </c>
      <c r="H12" s="2" t="s">
        <v>51</v>
      </c>
      <c r="I12" s="2" t="s">
        <v>91</v>
      </c>
      <c r="J12" s="2" t="s">
        <v>92</v>
      </c>
      <c r="K12" s="2" t="s">
        <v>63</v>
      </c>
      <c r="L12" s="2" t="s">
        <v>44</v>
      </c>
      <c r="M12" s="2">
        <v>59359</v>
      </c>
      <c r="N12" s="2" t="s">
        <v>64</v>
      </c>
      <c r="O12" s="2">
        <v>9449</v>
      </c>
      <c r="P12" s="2" t="s">
        <v>65</v>
      </c>
      <c r="Q12" s="2">
        <v>20</v>
      </c>
      <c r="R12" s="2">
        <v>3</v>
      </c>
      <c r="S12" s="2" t="s">
        <v>46</v>
      </c>
      <c r="T12" s="2" t="s">
        <v>56</v>
      </c>
      <c r="U12" s="2" t="s">
        <v>46</v>
      </c>
    </row>
    <row r="13" spans="1:21">
      <c r="A13" s="2">
        <v>10012</v>
      </c>
      <c r="B13" s="2" t="s">
        <v>93</v>
      </c>
      <c r="C13" s="2" t="s">
        <v>37</v>
      </c>
      <c r="D13" s="2">
        <v>30</v>
      </c>
      <c r="E13" s="2" t="s">
        <v>38</v>
      </c>
      <c r="F13" s="2" t="s">
        <v>24</v>
      </c>
      <c r="G13" s="2" t="s">
        <v>40</v>
      </c>
      <c r="H13" s="2" t="s">
        <v>26</v>
      </c>
      <c r="I13" s="2" t="s">
        <v>94</v>
      </c>
      <c r="J13" s="2" t="s">
        <v>95</v>
      </c>
      <c r="K13" s="2" t="s">
        <v>63</v>
      </c>
      <c r="L13" s="2" t="s">
        <v>54</v>
      </c>
      <c r="M13" s="2">
        <v>81225</v>
      </c>
      <c r="N13" s="2" t="s">
        <v>55</v>
      </c>
      <c r="O13" s="2">
        <v>6202</v>
      </c>
      <c r="P13" s="2" t="s">
        <v>65</v>
      </c>
      <c r="Q13" s="2">
        <v>2</v>
      </c>
      <c r="R13" s="2">
        <v>2</v>
      </c>
      <c r="S13" s="2" t="s">
        <v>47</v>
      </c>
      <c r="T13" s="2" t="s">
        <v>96</v>
      </c>
      <c r="U13" s="2" t="s">
        <v>35</v>
      </c>
    </row>
    <row r="14" spans="1:21">
      <c r="A14" s="2">
        <v>10013</v>
      </c>
      <c r="B14" s="2" t="s">
        <v>97</v>
      </c>
      <c r="C14" s="2" t="s">
        <v>22</v>
      </c>
      <c r="D14" s="2">
        <v>49</v>
      </c>
      <c r="E14" s="2" t="s">
        <v>98</v>
      </c>
      <c r="F14" s="2" t="s">
        <v>39</v>
      </c>
      <c r="G14" s="2" t="s">
        <v>25</v>
      </c>
      <c r="H14" s="2" t="s">
        <v>26</v>
      </c>
      <c r="I14" s="2" t="s">
        <v>99</v>
      </c>
      <c r="J14" s="2" t="s">
        <v>100</v>
      </c>
      <c r="K14" s="2" t="s">
        <v>63</v>
      </c>
      <c r="L14" s="2" t="s">
        <v>30</v>
      </c>
      <c r="M14" s="2">
        <v>32788</v>
      </c>
      <c r="N14" s="2" t="s">
        <v>55</v>
      </c>
      <c r="O14" s="2">
        <v>4396</v>
      </c>
      <c r="P14" s="2" t="s">
        <v>32</v>
      </c>
      <c r="Q14" s="2">
        <v>13</v>
      </c>
      <c r="R14" s="2">
        <v>5</v>
      </c>
      <c r="S14" s="2" t="s">
        <v>46</v>
      </c>
      <c r="T14" s="2" t="s">
        <v>75</v>
      </c>
      <c r="U14" s="2" t="s">
        <v>57</v>
      </c>
    </row>
    <row r="15" spans="1:21">
      <c r="A15" s="2">
        <v>10014</v>
      </c>
      <c r="B15" s="2" t="s">
        <v>101</v>
      </c>
      <c r="C15" s="2" t="s">
        <v>37</v>
      </c>
      <c r="D15" s="2">
        <v>60</v>
      </c>
      <c r="E15" s="2" t="s">
        <v>68</v>
      </c>
      <c r="F15" s="2" t="s">
        <v>102</v>
      </c>
      <c r="G15" s="2" t="s">
        <v>25</v>
      </c>
      <c r="H15" s="2" t="s">
        <v>60</v>
      </c>
      <c r="I15" s="2" t="s">
        <v>103</v>
      </c>
      <c r="J15" s="2" t="s">
        <v>104</v>
      </c>
      <c r="K15" s="2" t="s">
        <v>63</v>
      </c>
      <c r="L15" s="2" t="s">
        <v>54</v>
      </c>
      <c r="M15" s="2">
        <v>70452</v>
      </c>
      <c r="N15" s="2" t="s">
        <v>55</v>
      </c>
      <c r="O15" s="2">
        <v>9911</v>
      </c>
      <c r="P15" s="2" t="s">
        <v>46</v>
      </c>
      <c r="Q15" s="2">
        <v>2</v>
      </c>
      <c r="R15" s="2">
        <v>1</v>
      </c>
      <c r="S15" s="2" t="s">
        <v>46</v>
      </c>
      <c r="T15" s="2" t="s">
        <v>75</v>
      </c>
      <c r="U15" s="2" t="s">
        <v>35</v>
      </c>
    </row>
    <row r="16" spans="1:21">
      <c r="A16" s="2">
        <v>10015</v>
      </c>
      <c r="B16" s="2" t="s">
        <v>105</v>
      </c>
      <c r="C16" s="2" t="s">
        <v>37</v>
      </c>
      <c r="D16" s="2">
        <v>46</v>
      </c>
      <c r="E16" s="2" t="s">
        <v>98</v>
      </c>
      <c r="F16" s="2" t="s">
        <v>39</v>
      </c>
      <c r="G16" s="2" t="s">
        <v>72</v>
      </c>
      <c r="H16" s="2" t="s">
        <v>26</v>
      </c>
      <c r="I16" s="2" t="s">
        <v>106</v>
      </c>
      <c r="J16" s="2" t="s">
        <v>107</v>
      </c>
      <c r="K16" s="2" t="s">
        <v>29</v>
      </c>
      <c r="L16" s="2" t="s">
        <v>44</v>
      </c>
      <c r="M16" s="2">
        <v>33045</v>
      </c>
      <c r="N16" s="2" t="s">
        <v>45</v>
      </c>
      <c r="O16" s="2">
        <v>1456</v>
      </c>
      <c r="P16" s="2" t="s">
        <v>46</v>
      </c>
      <c r="Q16" s="2">
        <v>16</v>
      </c>
      <c r="R16" s="2">
        <v>3</v>
      </c>
      <c r="S16" s="2" t="s">
        <v>47</v>
      </c>
      <c r="T16" s="2" t="s">
        <v>75</v>
      </c>
      <c r="U16" s="2" t="s">
        <v>46</v>
      </c>
    </row>
    <row r="17" spans="1:21">
      <c r="A17" s="2">
        <v>10016</v>
      </c>
      <c r="B17" s="2" t="s">
        <v>108</v>
      </c>
      <c r="C17" s="2" t="s">
        <v>37</v>
      </c>
      <c r="D17" s="2">
        <v>57</v>
      </c>
      <c r="E17" s="2" t="s">
        <v>68</v>
      </c>
      <c r="F17" s="2" t="s">
        <v>49</v>
      </c>
      <c r="G17" s="2" t="s">
        <v>72</v>
      </c>
      <c r="H17" s="2" t="s">
        <v>41</v>
      </c>
      <c r="I17" s="2" t="s">
        <v>109</v>
      </c>
      <c r="J17" s="2" t="s">
        <v>110</v>
      </c>
      <c r="K17" s="2" t="s">
        <v>111</v>
      </c>
      <c r="L17" s="2" t="s">
        <v>54</v>
      </c>
      <c r="M17" s="2">
        <v>96429</v>
      </c>
      <c r="N17" s="2" t="s">
        <v>31</v>
      </c>
      <c r="O17" s="2">
        <v>4740</v>
      </c>
      <c r="P17" s="2" t="s">
        <v>46</v>
      </c>
      <c r="Q17" s="2">
        <v>8</v>
      </c>
      <c r="R17" s="2">
        <v>1</v>
      </c>
      <c r="S17" s="2" t="s">
        <v>47</v>
      </c>
      <c r="T17" s="2" t="s">
        <v>66</v>
      </c>
      <c r="U17" s="2" t="s">
        <v>46</v>
      </c>
    </row>
    <row r="18" spans="1:21">
      <c r="A18" s="2">
        <v>10017</v>
      </c>
      <c r="B18" s="2" t="s">
        <v>112</v>
      </c>
      <c r="C18" s="2" t="s">
        <v>22</v>
      </c>
      <c r="D18" s="2">
        <v>24</v>
      </c>
      <c r="E18" s="2" t="s">
        <v>23</v>
      </c>
      <c r="F18" s="2" t="s">
        <v>39</v>
      </c>
      <c r="G18" s="2" t="s">
        <v>50</v>
      </c>
      <c r="H18" s="2" t="s">
        <v>51</v>
      </c>
      <c r="I18" s="2" t="s">
        <v>113</v>
      </c>
      <c r="J18" s="2" t="s">
        <v>114</v>
      </c>
      <c r="K18" s="2" t="s">
        <v>111</v>
      </c>
      <c r="L18" s="2" t="s">
        <v>54</v>
      </c>
      <c r="M18" s="2">
        <v>33183</v>
      </c>
      <c r="N18" s="2" t="s">
        <v>64</v>
      </c>
      <c r="O18" s="2">
        <v>8114</v>
      </c>
      <c r="P18" s="2" t="s">
        <v>46</v>
      </c>
      <c r="Q18" s="2">
        <v>4</v>
      </c>
      <c r="R18" s="2">
        <v>2</v>
      </c>
      <c r="S18" s="2" t="s">
        <v>47</v>
      </c>
      <c r="T18" s="2" t="s">
        <v>96</v>
      </c>
      <c r="U18" s="2" t="s">
        <v>57</v>
      </c>
    </row>
    <row r="19" spans="1:21">
      <c r="A19" s="2">
        <v>10018</v>
      </c>
      <c r="B19" s="2" t="s">
        <v>58</v>
      </c>
      <c r="C19" s="2" t="s">
        <v>22</v>
      </c>
      <c r="D19" s="2">
        <v>35</v>
      </c>
      <c r="E19" s="2" t="s">
        <v>38</v>
      </c>
      <c r="F19" s="2" t="s">
        <v>102</v>
      </c>
      <c r="G19" s="2" t="s">
        <v>72</v>
      </c>
      <c r="H19" s="2" t="s">
        <v>26</v>
      </c>
      <c r="I19" s="2" t="s">
        <v>115</v>
      </c>
      <c r="J19" s="2" t="s">
        <v>116</v>
      </c>
      <c r="K19" s="2" t="s">
        <v>111</v>
      </c>
      <c r="L19" s="2" t="s">
        <v>30</v>
      </c>
      <c r="M19" s="2">
        <v>75065</v>
      </c>
      <c r="N19" s="2" t="s">
        <v>31</v>
      </c>
      <c r="O19" s="2">
        <v>7123</v>
      </c>
      <c r="P19" s="2" t="s">
        <v>46</v>
      </c>
      <c r="Q19" s="2">
        <v>20</v>
      </c>
      <c r="R19" s="2">
        <v>2</v>
      </c>
      <c r="S19" s="2" t="s">
        <v>46</v>
      </c>
      <c r="T19" s="2" t="s">
        <v>34</v>
      </c>
      <c r="U19" s="2" t="s">
        <v>57</v>
      </c>
    </row>
    <row r="20" spans="1:21">
      <c r="A20" s="2">
        <v>10019</v>
      </c>
      <c r="B20" s="2" t="s">
        <v>117</v>
      </c>
      <c r="C20" s="2" t="s">
        <v>37</v>
      </c>
      <c r="D20" s="2">
        <v>41</v>
      </c>
      <c r="E20" s="2" t="s">
        <v>59</v>
      </c>
      <c r="F20" s="2" t="s">
        <v>39</v>
      </c>
      <c r="G20" s="2" t="s">
        <v>40</v>
      </c>
      <c r="H20" s="2" t="s">
        <v>81</v>
      </c>
      <c r="I20" s="2" t="s">
        <v>118</v>
      </c>
      <c r="J20" s="2" t="s">
        <v>119</v>
      </c>
      <c r="K20" s="2" t="s">
        <v>29</v>
      </c>
      <c r="L20" s="2" t="s">
        <v>54</v>
      </c>
      <c r="M20" s="2">
        <v>32877</v>
      </c>
      <c r="N20" s="2" t="s">
        <v>31</v>
      </c>
      <c r="O20" s="2">
        <v>6432</v>
      </c>
      <c r="P20" s="2" t="s">
        <v>32</v>
      </c>
      <c r="Q20" s="2">
        <v>11</v>
      </c>
      <c r="R20" s="2">
        <v>1</v>
      </c>
      <c r="S20" s="2" t="s">
        <v>46</v>
      </c>
      <c r="T20" s="2" t="s">
        <v>34</v>
      </c>
      <c r="U20" s="2" t="s">
        <v>46</v>
      </c>
    </row>
    <row r="21" spans="1:21">
      <c r="A21" s="2">
        <v>10020</v>
      </c>
      <c r="B21" s="2" t="s">
        <v>120</v>
      </c>
      <c r="C21" s="2" t="s">
        <v>37</v>
      </c>
      <c r="D21" s="2">
        <v>36</v>
      </c>
      <c r="E21" s="2" t="s">
        <v>59</v>
      </c>
      <c r="F21" s="2" t="s">
        <v>39</v>
      </c>
      <c r="G21" s="2" t="s">
        <v>121</v>
      </c>
      <c r="H21" s="2" t="s">
        <v>60</v>
      </c>
      <c r="I21" s="2" t="s">
        <v>122</v>
      </c>
      <c r="J21" s="2" t="s">
        <v>123</v>
      </c>
      <c r="K21" s="2" t="s">
        <v>29</v>
      </c>
      <c r="L21" s="2" t="s">
        <v>44</v>
      </c>
      <c r="M21" s="2">
        <v>46811</v>
      </c>
      <c r="N21" s="2" t="s">
        <v>55</v>
      </c>
      <c r="O21" s="2">
        <v>1567</v>
      </c>
      <c r="P21" s="2" t="s">
        <v>46</v>
      </c>
      <c r="Q21" s="2">
        <v>7</v>
      </c>
      <c r="R21" s="2">
        <v>3</v>
      </c>
      <c r="S21" s="2" t="s">
        <v>47</v>
      </c>
      <c r="T21" s="2" t="s">
        <v>34</v>
      </c>
      <c r="U21" s="2" t="s">
        <v>57</v>
      </c>
    </row>
    <row r="22" spans="1:21">
      <c r="A22" s="2">
        <v>10021</v>
      </c>
      <c r="B22" s="2" t="s">
        <v>124</v>
      </c>
      <c r="C22" s="2" t="s">
        <v>37</v>
      </c>
      <c r="D22" s="2">
        <v>31</v>
      </c>
      <c r="E22" s="2" t="s">
        <v>38</v>
      </c>
      <c r="F22" s="2" t="s">
        <v>80</v>
      </c>
      <c r="G22" s="2" t="s">
        <v>50</v>
      </c>
      <c r="H22" s="2" t="s">
        <v>41</v>
      </c>
      <c r="I22" s="2" t="s">
        <v>125</v>
      </c>
      <c r="J22" s="2" t="s">
        <v>126</v>
      </c>
      <c r="K22" s="2" t="s">
        <v>63</v>
      </c>
      <c r="L22" s="2" t="s">
        <v>44</v>
      </c>
      <c r="M22" s="2">
        <v>87538</v>
      </c>
      <c r="N22" s="2" t="s">
        <v>31</v>
      </c>
      <c r="O22" s="2">
        <v>3588</v>
      </c>
      <c r="P22" s="2" t="s">
        <v>65</v>
      </c>
      <c r="Q22" s="2">
        <v>11</v>
      </c>
      <c r="R22" s="2">
        <v>5</v>
      </c>
      <c r="S22" s="2" t="s">
        <v>47</v>
      </c>
      <c r="T22" s="2" t="s">
        <v>66</v>
      </c>
      <c r="U22" s="2" t="s">
        <v>46</v>
      </c>
    </row>
    <row r="23" spans="1:21">
      <c r="A23" s="2">
        <v>10022</v>
      </c>
      <c r="B23" s="2" t="s">
        <v>127</v>
      </c>
      <c r="C23" s="2" t="s">
        <v>22</v>
      </c>
      <c r="D23" s="2">
        <v>28</v>
      </c>
      <c r="E23" s="2" t="s">
        <v>38</v>
      </c>
      <c r="F23" s="2" t="s">
        <v>24</v>
      </c>
      <c r="G23" s="2" t="s">
        <v>40</v>
      </c>
      <c r="H23" s="2" t="s">
        <v>81</v>
      </c>
      <c r="I23" s="2" t="s">
        <v>128</v>
      </c>
      <c r="J23" s="2" t="s">
        <v>129</v>
      </c>
      <c r="K23" s="2" t="s">
        <v>29</v>
      </c>
      <c r="L23" s="2" t="s">
        <v>44</v>
      </c>
      <c r="M23" s="2">
        <v>73002</v>
      </c>
      <c r="N23" s="2" t="s">
        <v>31</v>
      </c>
      <c r="O23" s="2">
        <v>6296</v>
      </c>
      <c r="P23" s="2" t="s">
        <v>32</v>
      </c>
      <c r="Q23" s="2">
        <v>2</v>
      </c>
      <c r="R23" s="2">
        <v>5</v>
      </c>
      <c r="S23" s="2" t="s">
        <v>47</v>
      </c>
      <c r="T23" s="2" t="s">
        <v>56</v>
      </c>
      <c r="U23" s="2" t="s">
        <v>35</v>
      </c>
    </row>
    <row r="24" spans="1:21">
      <c r="A24" s="2">
        <v>10023</v>
      </c>
      <c r="B24" s="2" t="s">
        <v>130</v>
      </c>
      <c r="C24" s="2" t="s">
        <v>37</v>
      </c>
      <c r="D24" s="2">
        <v>37</v>
      </c>
      <c r="E24" s="2" t="s">
        <v>59</v>
      </c>
      <c r="F24" s="2" t="s">
        <v>80</v>
      </c>
      <c r="G24" s="2" t="s">
        <v>40</v>
      </c>
      <c r="H24" s="2" t="s">
        <v>60</v>
      </c>
      <c r="I24" s="2" t="s">
        <v>131</v>
      </c>
      <c r="J24" s="2" t="s">
        <v>132</v>
      </c>
      <c r="K24" s="2" t="s">
        <v>111</v>
      </c>
      <c r="L24" s="2" t="s">
        <v>54</v>
      </c>
      <c r="M24" s="2">
        <v>41653</v>
      </c>
      <c r="N24" s="2" t="s">
        <v>55</v>
      </c>
      <c r="O24" s="2">
        <v>9236</v>
      </c>
      <c r="P24" s="2" t="s">
        <v>46</v>
      </c>
      <c r="Q24" s="2">
        <v>13</v>
      </c>
      <c r="R24" s="2">
        <v>1</v>
      </c>
      <c r="S24" s="2" t="s">
        <v>47</v>
      </c>
      <c r="T24" s="2" t="s">
        <v>34</v>
      </c>
      <c r="U24" s="2" t="s">
        <v>46</v>
      </c>
    </row>
    <row r="25" spans="1:21">
      <c r="A25" s="2">
        <v>10024</v>
      </c>
      <c r="B25" s="2" t="s">
        <v>133</v>
      </c>
      <c r="C25" s="2" t="s">
        <v>22</v>
      </c>
      <c r="D25" s="2">
        <v>31</v>
      </c>
      <c r="E25" s="2" t="s">
        <v>38</v>
      </c>
      <c r="F25" s="2" t="s">
        <v>24</v>
      </c>
      <c r="G25" s="2" t="s">
        <v>25</v>
      </c>
      <c r="H25" s="2" t="s">
        <v>51</v>
      </c>
      <c r="I25" s="2" t="s">
        <v>134</v>
      </c>
      <c r="J25" s="2" t="s">
        <v>135</v>
      </c>
      <c r="K25" s="2" t="s">
        <v>63</v>
      </c>
      <c r="L25" s="2" t="s">
        <v>44</v>
      </c>
      <c r="M25" s="2">
        <v>67582</v>
      </c>
      <c r="N25" s="2" t="s">
        <v>64</v>
      </c>
      <c r="O25" s="2">
        <v>1375</v>
      </c>
      <c r="P25" s="2" t="s">
        <v>32</v>
      </c>
      <c r="Q25" s="2">
        <v>20</v>
      </c>
      <c r="R25" s="2">
        <v>3</v>
      </c>
      <c r="S25" s="2" t="s">
        <v>47</v>
      </c>
      <c r="T25" s="2" t="s">
        <v>56</v>
      </c>
      <c r="U25" s="2" t="s">
        <v>46</v>
      </c>
    </row>
    <row r="26" spans="1:21">
      <c r="A26" s="2">
        <v>10025</v>
      </c>
      <c r="B26" s="2" t="s">
        <v>136</v>
      </c>
      <c r="C26" s="2" t="s">
        <v>22</v>
      </c>
      <c r="D26" s="2">
        <v>23</v>
      </c>
      <c r="E26" s="2" t="s">
        <v>23</v>
      </c>
      <c r="F26" s="2" t="s">
        <v>80</v>
      </c>
      <c r="G26" s="2" t="s">
        <v>40</v>
      </c>
      <c r="H26" s="2" t="s">
        <v>41</v>
      </c>
      <c r="I26" s="2" t="s">
        <v>137</v>
      </c>
      <c r="J26" s="2" t="s">
        <v>138</v>
      </c>
      <c r="K26" s="2" t="s">
        <v>111</v>
      </c>
      <c r="L26" s="2" t="s">
        <v>44</v>
      </c>
      <c r="M26" s="2">
        <v>37351</v>
      </c>
      <c r="N26" s="2" t="s">
        <v>55</v>
      </c>
      <c r="O26" s="2">
        <v>7858</v>
      </c>
      <c r="P26" s="2" t="s">
        <v>65</v>
      </c>
      <c r="Q26" s="2">
        <v>18</v>
      </c>
      <c r="R26" s="2">
        <v>2</v>
      </c>
      <c r="S26" s="2" t="s">
        <v>33</v>
      </c>
      <c r="T26" s="2" t="s">
        <v>56</v>
      </c>
      <c r="U26" s="2" t="s">
        <v>57</v>
      </c>
    </row>
    <row r="27" spans="1:21">
      <c r="A27" s="2">
        <v>10026</v>
      </c>
      <c r="B27" s="2" t="s">
        <v>139</v>
      </c>
      <c r="C27" s="2" t="s">
        <v>22</v>
      </c>
      <c r="D27" s="2">
        <v>48</v>
      </c>
      <c r="E27" s="2" t="s">
        <v>98</v>
      </c>
      <c r="F27" s="2" t="s">
        <v>102</v>
      </c>
      <c r="G27" s="2" t="s">
        <v>50</v>
      </c>
      <c r="H27" s="2" t="s">
        <v>26</v>
      </c>
      <c r="I27" s="2" t="s">
        <v>140</v>
      </c>
      <c r="J27" s="2" t="s">
        <v>141</v>
      </c>
      <c r="K27" s="2" t="s">
        <v>29</v>
      </c>
      <c r="L27" s="2" t="s">
        <v>44</v>
      </c>
      <c r="M27" s="2">
        <v>36721</v>
      </c>
      <c r="N27" s="2" t="s">
        <v>45</v>
      </c>
      <c r="O27" s="2">
        <v>8820</v>
      </c>
      <c r="P27" s="2" t="s">
        <v>65</v>
      </c>
      <c r="Q27" s="2">
        <v>0</v>
      </c>
      <c r="R27" s="2">
        <v>2</v>
      </c>
      <c r="S27" s="2" t="s">
        <v>47</v>
      </c>
      <c r="T27" s="2" t="s">
        <v>56</v>
      </c>
      <c r="U27" s="2" t="s">
        <v>35</v>
      </c>
    </row>
    <row r="28" spans="1:21">
      <c r="A28" s="2">
        <v>10027</v>
      </c>
      <c r="B28" s="2" t="s">
        <v>142</v>
      </c>
      <c r="C28" s="2" t="s">
        <v>37</v>
      </c>
      <c r="D28" s="2">
        <v>28</v>
      </c>
      <c r="E28" s="2" t="s">
        <v>38</v>
      </c>
      <c r="F28" s="2" t="s">
        <v>49</v>
      </c>
      <c r="G28" s="2" t="s">
        <v>121</v>
      </c>
      <c r="H28" s="2" t="s">
        <v>26</v>
      </c>
      <c r="I28" s="2" t="s">
        <v>143</v>
      </c>
      <c r="J28" s="2" t="s">
        <v>144</v>
      </c>
      <c r="K28" s="2" t="s">
        <v>63</v>
      </c>
      <c r="L28" s="2" t="s">
        <v>54</v>
      </c>
      <c r="M28" s="2">
        <v>46326</v>
      </c>
      <c r="N28" s="2" t="s">
        <v>45</v>
      </c>
      <c r="O28" s="2">
        <v>9189</v>
      </c>
      <c r="P28" s="2" t="s">
        <v>65</v>
      </c>
      <c r="Q28" s="2">
        <v>8</v>
      </c>
      <c r="R28" s="2">
        <v>4</v>
      </c>
      <c r="S28" s="2" t="s">
        <v>33</v>
      </c>
      <c r="T28" s="2" t="s">
        <v>75</v>
      </c>
      <c r="U28" s="2" t="s">
        <v>57</v>
      </c>
    </row>
    <row r="29" spans="1:21">
      <c r="A29" s="2">
        <v>10028</v>
      </c>
      <c r="B29" s="2" t="s">
        <v>145</v>
      </c>
      <c r="C29" s="2" t="s">
        <v>37</v>
      </c>
      <c r="D29" s="2">
        <v>30</v>
      </c>
      <c r="E29" s="2" t="s">
        <v>38</v>
      </c>
      <c r="F29" s="2" t="s">
        <v>39</v>
      </c>
      <c r="G29" s="2" t="s">
        <v>72</v>
      </c>
      <c r="H29" s="2" t="s">
        <v>41</v>
      </c>
      <c r="I29" s="2" t="s">
        <v>146</v>
      </c>
      <c r="J29" s="2" t="s">
        <v>147</v>
      </c>
      <c r="K29" s="2" t="s">
        <v>29</v>
      </c>
      <c r="L29" s="2" t="s">
        <v>30</v>
      </c>
      <c r="M29" s="2">
        <v>59007</v>
      </c>
      <c r="N29" s="2" t="s">
        <v>31</v>
      </c>
      <c r="O29" s="2">
        <v>3380</v>
      </c>
      <c r="P29" s="2" t="s">
        <v>32</v>
      </c>
      <c r="Q29" s="2">
        <v>17</v>
      </c>
      <c r="R29" s="2">
        <v>3</v>
      </c>
      <c r="S29" s="2" t="s">
        <v>46</v>
      </c>
      <c r="T29" s="2" t="s">
        <v>96</v>
      </c>
      <c r="U29" s="2" t="s">
        <v>35</v>
      </c>
    </row>
    <row r="30" spans="1:21">
      <c r="A30" s="2">
        <v>10029</v>
      </c>
      <c r="B30" s="2" t="s">
        <v>148</v>
      </c>
      <c r="C30" s="2" t="s">
        <v>37</v>
      </c>
      <c r="D30" s="2">
        <v>46</v>
      </c>
      <c r="E30" s="2" t="s">
        <v>98</v>
      </c>
      <c r="F30" s="2" t="s">
        <v>80</v>
      </c>
      <c r="G30" s="2" t="s">
        <v>25</v>
      </c>
      <c r="H30" s="2" t="s">
        <v>60</v>
      </c>
      <c r="I30" s="2" t="s">
        <v>149</v>
      </c>
      <c r="J30" s="2" t="s">
        <v>150</v>
      </c>
      <c r="K30" s="2" t="s">
        <v>29</v>
      </c>
      <c r="L30" s="2" t="s">
        <v>44</v>
      </c>
      <c r="M30" s="2">
        <v>52020</v>
      </c>
      <c r="N30" s="2" t="s">
        <v>45</v>
      </c>
      <c r="O30" s="2">
        <v>9585</v>
      </c>
      <c r="P30" s="2" t="s">
        <v>65</v>
      </c>
      <c r="Q30" s="2">
        <v>0</v>
      </c>
      <c r="R30" s="2">
        <v>4</v>
      </c>
      <c r="S30" s="2" t="s">
        <v>47</v>
      </c>
      <c r="T30" s="2" t="s">
        <v>96</v>
      </c>
      <c r="U30" s="2" t="s">
        <v>46</v>
      </c>
    </row>
    <row r="31" spans="1:21">
      <c r="A31" s="2">
        <v>10030</v>
      </c>
      <c r="B31" s="2" t="s">
        <v>151</v>
      </c>
      <c r="C31" s="2" t="s">
        <v>37</v>
      </c>
      <c r="D31" s="2">
        <v>44</v>
      </c>
      <c r="E31" s="2" t="s">
        <v>59</v>
      </c>
      <c r="F31" s="2" t="s">
        <v>39</v>
      </c>
      <c r="G31" s="2" t="s">
        <v>50</v>
      </c>
      <c r="H31" s="2" t="s">
        <v>41</v>
      </c>
      <c r="I31" s="2" t="s">
        <v>152</v>
      </c>
      <c r="J31" s="2" t="s">
        <v>153</v>
      </c>
      <c r="K31" s="2" t="s">
        <v>111</v>
      </c>
      <c r="L31" s="2" t="s">
        <v>44</v>
      </c>
      <c r="M31" s="2">
        <v>98961</v>
      </c>
      <c r="N31" s="2" t="s">
        <v>55</v>
      </c>
      <c r="O31" s="2">
        <v>2688</v>
      </c>
      <c r="P31" s="2" t="s">
        <v>32</v>
      </c>
      <c r="Q31" s="2">
        <v>2</v>
      </c>
      <c r="R31" s="2">
        <v>5</v>
      </c>
      <c r="S31" s="2" t="s">
        <v>47</v>
      </c>
      <c r="T31" s="2" t="s">
        <v>96</v>
      </c>
      <c r="U31" s="2" t="s">
        <v>35</v>
      </c>
    </row>
    <row r="32" spans="1:21">
      <c r="A32" s="2">
        <v>10031</v>
      </c>
      <c r="B32" s="2" t="s">
        <v>154</v>
      </c>
      <c r="C32" s="2" t="s">
        <v>37</v>
      </c>
      <c r="D32" s="2">
        <v>45</v>
      </c>
      <c r="E32" s="2" t="s">
        <v>59</v>
      </c>
      <c r="F32" s="2" t="s">
        <v>49</v>
      </c>
      <c r="G32" s="2" t="s">
        <v>72</v>
      </c>
      <c r="H32" s="2" t="s">
        <v>51</v>
      </c>
      <c r="I32" s="2" t="s">
        <v>155</v>
      </c>
      <c r="J32" s="2" t="s">
        <v>156</v>
      </c>
      <c r="K32" s="2" t="s">
        <v>111</v>
      </c>
      <c r="L32" s="2" t="s">
        <v>44</v>
      </c>
      <c r="M32" s="2">
        <v>81943</v>
      </c>
      <c r="N32" s="2" t="s">
        <v>31</v>
      </c>
      <c r="O32" s="2">
        <v>2255</v>
      </c>
      <c r="P32" s="2" t="s">
        <v>32</v>
      </c>
      <c r="Q32" s="2">
        <v>18</v>
      </c>
      <c r="R32" s="2">
        <v>2</v>
      </c>
      <c r="S32" s="2" t="s">
        <v>46</v>
      </c>
      <c r="T32" s="2" t="s">
        <v>66</v>
      </c>
      <c r="U32" s="2" t="s">
        <v>35</v>
      </c>
    </row>
    <row r="33" spans="1:21">
      <c r="A33" s="2">
        <v>10032</v>
      </c>
      <c r="B33" s="2" t="s">
        <v>157</v>
      </c>
      <c r="C33" s="2" t="s">
        <v>37</v>
      </c>
      <c r="D33" s="2">
        <v>52</v>
      </c>
      <c r="E33" s="2" t="s">
        <v>98</v>
      </c>
      <c r="F33" s="2" t="s">
        <v>102</v>
      </c>
      <c r="G33" s="2" t="s">
        <v>50</v>
      </c>
      <c r="H33" s="2" t="s">
        <v>41</v>
      </c>
      <c r="I33" s="2" t="s">
        <v>158</v>
      </c>
      <c r="J33" s="2" t="s">
        <v>159</v>
      </c>
      <c r="K33" s="2" t="s">
        <v>111</v>
      </c>
      <c r="L33" s="2" t="s">
        <v>44</v>
      </c>
      <c r="M33" s="2">
        <v>47627</v>
      </c>
      <c r="N33" s="2" t="s">
        <v>31</v>
      </c>
      <c r="O33" s="2">
        <v>1221</v>
      </c>
      <c r="P33" s="2" t="s">
        <v>46</v>
      </c>
      <c r="Q33" s="2">
        <v>4</v>
      </c>
      <c r="R33" s="2">
        <v>3</v>
      </c>
      <c r="S33" s="2" t="s">
        <v>46</v>
      </c>
      <c r="T33" s="2" t="s">
        <v>56</v>
      </c>
      <c r="U33" s="2" t="s">
        <v>46</v>
      </c>
    </row>
    <row r="34" spans="1:21">
      <c r="A34" s="2">
        <v>10033</v>
      </c>
      <c r="B34" s="2" t="s">
        <v>160</v>
      </c>
      <c r="C34" s="2" t="s">
        <v>22</v>
      </c>
      <c r="D34" s="2">
        <v>52</v>
      </c>
      <c r="E34" s="2" t="s">
        <v>98</v>
      </c>
      <c r="F34" s="2" t="s">
        <v>24</v>
      </c>
      <c r="G34" s="2" t="s">
        <v>25</v>
      </c>
      <c r="H34" s="2" t="s">
        <v>81</v>
      </c>
      <c r="I34" s="2" t="s">
        <v>161</v>
      </c>
      <c r="J34" s="2" t="s">
        <v>162</v>
      </c>
      <c r="K34" s="2" t="s">
        <v>111</v>
      </c>
      <c r="L34" s="2" t="s">
        <v>44</v>
      </c>
      <c r="M34" s="2">
        <v>56162</v>
      </c>
      <c r="N34" s="2" t="s">
        <v>55</v>
      </c>
      <c r="O34" s="2">
        <v>6560</v>
      </c>
      <c r="P34" s="2" t="s">
        <v>65</v>
      </c>
      <c r="Q34" s="2">
        <v>9</v>
      </c>
      <c r="R34" s="2">
        <v>4</v>
      </c>
      <c r="S34" s="2" t="s">
        <v>47</v>
      </c>
      <c r="T34" s="2" t="s">
        <v>75</v>
      </c>
      <c r="U34" s="2" t="s">
        <v>46</v>
      </c>
    </row>
    <row r="35" spans="1:21">
      <c r="A35" s="2">
        <v>10034</v>
      </c>
      <c r="B35" s="2" t="s">
        <v>163</v>
      </c>
      <c r="C35" s="2" t="s">
        <v>22</v>
      </c>
      <c r="D35" s="2">
        <v>42</v>
      </c>
      <c r="E35" s="2" t="s">
        <v>59</v>
      </c>
      <c r="F35" s="2" t="s">
        <v>39</v>
      </c>
      <c r="G35" s="2" t="s">
        <v>50</v>
      </c>
      <c r="H35" s="2" t="s">
        <v>51</v>
      </c>
      <c r="I35" s="2" t="s">
        <v>164</v>
      </c>
      <c r="J35" s="2" t="s">
        <v>165</v>
      </c>
      <c r="K35" s="2" t="s">
        <v>63</v>
      </c>
      <c r="L35" s="2" t="s">
        <v>54</v>
      </c>
      <c r="M35" s="2">
        <v>95734</v>
      </c>
      <c r="N35" s="2" t="s">
        <v>31</v>
      </c>
      <c r="O35" s="2">
        <v>4854</v>
      </c>
      <c r="P35" s="2" t="s">
        <v>32</v>
      </c>
      <c r="Q35" s="2">
        <v>13</v>
      </c>
      <c r="R35" s="2">
        <v>2</v>
      </c>
      <c r="S35" s="2" t="s">
        <v>33</v>
      </c>
      <c r="T35" s="2" t="s">
        <v>34</v>
      </c>
      <c r="U35" s="2" t="s">
        <v>35</v>
      </c>
    </row>
    <row r="36" spans="1:21">
      <c r="A36" s="2">
        <v>10035</v>
      </c>
      <c r="B36" s="2" t="s">
        <v>166</v>
      </c>
      <c r="C36" s="2" t="s">
        <v>37</v>
      </c>
      <c r="D36" s="2">
        <v>58</v>
      </c>
      <c r="E36" s="2" t="s">
        <v>68</v>
      </c>
      <c r="F36" s="2" t="s">
        <v>39</v>
      </c>
      <c r="G36" s="2" t="s">
        <v>40</v>
      </c>
      <c r="H36" s="2" t="s">
        <v>60</v>
      </c>
      <c r="I36" s="2" t="s">
        <v>167</v>
      </c>
      <c r="J36" s="2" t="s">
        <v>168</v>
      </c>
      <c r="K36" s="2" t="s">
        <v>63</v>
      </c>
      <c r="L36" s="2" t="s">
        <v>54</v>
      </c>
      <c r="M36" s="2">
        <v>74789</v>
      </c>
      <c r="N36" s="2" t="s">
        <v>31</v>
      </c>
      <c r="O36" s="2">
        <v>8101</v>
      </c>
      <c r="P36" s="2" t="s">
        <v>65</v>
      </c>
      <c r="Q36" s="2">
        <v>14</v>
      </c>
      <c r="R36" s="2">
        <v>5</v>
      </c>
      <c r="S36" s="2" t="s">
        <v>47</v>
      </c>
      <c r="T36" s="2" t="s">
        <v>66</v>
      </c>
      <c r="U36" s="2" t="s">
        <v>46</v>
      </c>
    </row>
    <row r="37" spans="1:21">
      <c r="A37" s="2">
        <v>10036</v>
      </c>
      <c r="B37" s="2" t="s">
        <v>169</v>
      </c>
      <c r="C37" s="2" t="s">
        <v>22</v>
      </c>
      <c r="D37" s="2">
        <v>24</v>
      </c>
      <c r="E37" s="2" t="s">
        <v>23</v>
      </c>
      <c r="F37" s="2" t="s">
        <v>102</v>
      </c>
      <c r="G37" s="2" t="s">
        <v>25</v>
      </c>
      <c r="H37" s="2" t="s">
        <v>60</v>
      </c>
      <c r="I37" s="2" t="s">
        <v>170</v>
      </c>
      <c r="J37" s="2" t="s">
        <v>171</v>
      </c>
      <c r="K37" s="2" t="s">
        <v>29</v>
      </c>
      <c r="L37" s="2" t="s">
        <v>54</v>
      </c>
      <c r="M37" s="2">
        <v>30137</v>
      </c>
      <c r="N37" s="2" t="s">
        <v>45</v>
      </c>
      <c r="O37" s="2">
        <v>4031</v>
      </c>
      <c r="P37" s="2" t="s">
        <v>46</v>
      </c>
      <c r="Q37" s="2">
        <v>5</v>
      </c>
      <c r="R37" s="2">
        <v>3</v>
      </c>
      <c r="S37" s="2" t="s">
        <v>46</v>
      </c>
      <c r="T37" s="2" t="s">
        <v>56</v>
      </c>
      <c r="U37" s="2" t="s">
        <v>35</v>
      </c>
    </row>
    <row r="38" spans="1:21">
      <c r="A38" s="2">
        <v>10037</v>
      </c>
      <c r="B38" s="2" t="s">
        <v>172</v>
      </c>
      <c r="C38" s="2" t="s">
        <v>37</v>
      </c>
      <c r="D38" s="2">
        <v>21</v>
      </c>
      <c r="E38" s="2" t="s">
        <v>23</v>
      </c>
      <c r="F38" s="2" t="s">
        <v>39</v>
      </c>
      <c r="G38" s="2" t="s">
        <v>25</v>
      </c>
      <c r="H38" s="2" t="s">
        <v>26</v>
      </c>
      <c r="I38" s="2" t="s">
        <v>173</v>
      </c>
      <c r="J38" s="2" t="s">
        <v>174</v>
      </c>
      <c r="K38" s="2" t="s">
        <v>29</v>
      </c>
      <c r="L38" s="2" t="s">
        <v>54</v>
      </c>
      <c r="M38" s="2">
        <v>95510</v>
      </c>
      <c r="N38" s="2" t="s">
        <v>31</v>
      </c>
      <c r="O38" s="2">
        <v>6811</v>
      </c>
      <c r="P38" s="2" t="s">
        <v>32</v>
      </c>
      <c r="Q38" s="2">
        <v>18</v>
      </c>
      <c r="R38" s="2">
        <v>4</v>
      </c>
      <c r="S38" s="2" t="s">
        <v>47</v>
      </c>
      <c r="T38" s="2" t="s">
        <v>96</v>
      </c>
      <c r="U38" s="2" t="s">
        <v>35</v>
      </c>
    </row>
    <row r="39" spans="1:21">
      <c r="A39" s="2">
        <v>10038</v>
      </c>
      <c r="B39" s="2" t="s">
        <v>175</v>
      </c>
      <c r="C39" s="2" t="s">
        <v>37</v>
      </c>
      <c r="D39" s="2">
        <v>58</v>
      </c>
      <c r="E39" s="2" t="s">
        <v>68</v>
      </c>
      <c r="F39" s="2" t="s">
        <v>39</v>
      </c>
      <c r="G39" s="2" t="s">
        <v>72</v>
      </c>
      <c r="H39" s="2" t="s">
        <v>26</v>
      </c>
      <c r="I39" s="2" t="s">
        <v>176</v>
      </c>
      <c r="J39" s="2" t="s">
        <v>177</v>
      </c>
      <c r="K39" s="2" t="s">
        <v>63</v>
      </c>
      <c r="L39" s="2" t="s">
        <v>30</v>
      </c>
      <c r="M39" s="2">
        <v>80325</v>
      </c>
      <c r="N39" s="2" t="s">
        <v>45</v>
      </c>
      <c r="O39" s="2">
        <v>6230</v>
      </c>
      <c r="P39" s="2" t="s">
        <v>32</v>
      </c>
      <c r="Q39" s="2">
        <v>5</v>
      </c>
      <c r="R39" s="2">
        <v>4</v>
      </c>
      <c r="S39" s="2" t="s">
        <v>46</v>
      </c>
      <c r="T39" s="2" t="s">
        <v>66</v>
      </c>
      <c r="U39" s="2" t="s">
        <v>57</v>
      </c>
    </row>
    <row r="40" spans="1:21">
      <c r="A40" s="2">
        <v>10039</v>
      </c>
      <c r="B40" s="2" t="s">
        <v>178</v>
      </c>
      <c r="C40" s="2" t="s">
        <v>22</v>
      </c>
      <c r="D40" s="2">
        <v>57</v>
      </c>
      <c r="E40" s="2" t="s">
        <v>68</v>
      </c>
      <c r="F40" s="2" t="s">
        <v>80</v>
      </c>
      <c r="G40" s="2" t="s">
        <v>121</v>
      </c>
      <c r="H40" s="2" t="s">
        <v>81</v>
      </c>
      <c r="I40" s="2" t="s">
        <v>179</v>
      </c>
      <c r="J40" s="2" t="s">
        <v>180</v>
      </c>
      <c r="K40" s="2" t="s">
        <v>111</v>
      </c>
      <c r="L40" s="2" t="s">
        <v>44</v>
      </c>
      <c r="M40" s="2">
        <v>34109</v>
      </c>
      <c r="N40" s="2" t="s">
        <v>45</v>
      </c>
      <c r="O40" s="2">
        <v>9232</v>
      </c>
      <c r="P40" s="2" t="s">
        <v>32</v>
      </c>
      <c r="Q40" s="2">
        <v>13</v>
      </c>
      <c r="R40" s="2">
        <v>3</v>
      </c>
      <c r="S40" s="2" t="s">
        <v>33</v>
      </c>
      <c r="T40" s="2" t="s">
        <v>34</v>
      </c>
      <c r="U40" s="2" t="s">
        <v>35</v>
      </c>
    </row>
    <row r="41" spans="1:21">
      <c r="A41" s="2">
        <v>10040</v>
      </c>
      <c r="B41" s="2" t="s">
        <v>181</v>
      </c>
      <c r="C41" s="2" t="s">
        <v>37</v>
      </c>
      <c r="D41" s="2">
        <v>41</v>
      </c>
      <c r="E41" s="2" t="s">
        <v>59</v>
      </c>
      <c r="F41" s="2" t="s">
        <v>80</v>
      </c>
      <c r="G41" s="2" t="s">
        <v>72</v>
      </c>
      <c r="H41" s="2" t="s">
        <v>26</v>
      </c>
      <c r="I41" s="2" t="s">
        <v>182</v>
      </c>
      <c r="J41" s="2" t="s">
        <v>183</v>
      </c>
      <c r="K41" s="2" t="s">
        <v>111</v>
      </c>
      <c r="L41" s="2" t="s">
        <v>54</v>
      </c>
      <c r="M41" s="2">
        <v>73330</v>
      </c>
      <c r="N41" s="2" t="s">
        <v>31</v>
      </c>
      <c r="O41" s="2">
        <v>2276</v>
      </c>
      <c r="P41" s="2" t="s">
        <v>65</v>
      </c>
      <c r="Q41" s="2">
        <v>5</v>
      </c>
      <c r="R41" s="2">
        <v>1</v>
      </c>
      <c r="S41" s="2" t="s">
        <v>46</v>
      </c>
      <c r="T41" s="2" t="s">
        <v>56</v>
      </c>
      <c r="U41" s="2" t="s">
        <v>57</v>
      </c>
    </row>
    <row r="42" spans="1:21">
      <c r="A42" s="2">
        <v>10041</v>
      </c>
      <c r="B42" s="2" t="s">
        <v>184</v>
      </c>
      <c r="C42" s="2" t="s">
        <v>22</v>
      </c>
      <c r="D42" s="2">
        <v>58</v>
      </c>
      <c r="E42" s="2" t="s">
        <v>68</v>
      </c>
      <c r="F42" s="2" t="s">
        <v>49</v>
      </c>
      <c r="G42" s="2" t="s">
        <v>50</v>
      </c>
      <c r="H42" s="2" t="s">
        <v>41</v>
      </c>
      <c r="I42" s="2" t="s">
        <v>185</v>
      </c>
      <c r="J42" s="2" t="s">
        <v>186</v>
      </c>
      <c r="K42" s="2" t="s">
        <v>63</v>
      </c>
      <c r="L42" s="2" t="s">
        <v>54</v>
      </c>
      <c r="M42" s="2">
        <v>46567</v>
      </c>
      <c r="N42" s="2" t="s">
        <v>64</v>
      </c>
      <c r="O42" s="2">
        <v>2825</v>
      </c>
      <c r="P42" s="2" t="s">
        <v>32</v>
      </c>
      <c r="Q42" s="2">
        <v>15</v>
      </c>
      <c r="R42" s="2">
        <v>3</v>
      </c>
      <c r="S42" s="2" t="s">
        <v>46</v>
      </c>
      <c r="T42" s="2" t="s">
        <v>96</v>
      </c>
      <c r="U42" s="2" t="s">
        <v>57</v>
      </c>
    </row>
    <row r="43" spans="1:21">
      <c r="A43" s="2">
        <v>10042</v>
      </c>
      <c r="B43" s="2" t="s">
        <v>187</v>
      </c>
      <c r="C43" s="2" t="s">
        <v>22</v>
      </c>
      <c r="D43" s="2">
        <v>36</v>
      </c>
      <c r="E43" s="2" t="s">
        <v>59</v>
      </c>
      <c r="F43" s="2" t="s">
        <v>24</v>
      </c>
      <c r="G43" s="2" t="s">
        <v>121</v>
      </c>
      <c r="H43" s="2" t="s">
        <v>26</v>
      </c>
      <c r="I43" s="2" t="s">
        <v>188</v>
      </c>
      <c r="J43" s="2" t="s">
        <v>189</v>
      </c>
      <c r="K43" s="2" t="s">
        <v>63</v>
      </c>
      <c r="L43" s="2" t="s">
        <v>44</v>
      </c>
      <c r="M43" s="2">
        <v>39795</v>
      </c>
      <c r="N43" s="2" t="s">
        <v>64</v>
      </c>
      <c r="O43" s="2">
        <v>1670</v>
      </c>
      <c r="P43" s="2" t="s">
        <v>46</v>
      </c>
      <c r="Q43" s="2">
        <v>0</v>
      </c>
      <c r="R43" s="2">
        <v>2</v>
      </c>
      <c r="S43" s="2" t="s">
        <v>47</v>
      </c>
      <c r="T43" s="2" t="s">
        <v>75</v>
      </c>
      <c r="U43" s="2" t="s">
        <v>46</v>
      </c>
    </row>
    <row r="44" spans="1:21">
      <c r="A44" s="2">
        <v>10043</v>
      </c>
      <c r="B44" s="2" t="s">
        <v>190</v>
      </c>
      <c r="C44" s="2" t="s">
        <v>22</v>
      </c>
      <c r="D44" s="2">
        <v>21</v>
      </c>
      <c r="E44" s="2" t="s">
        <v>23</v>
      </c>
      <c r="F44" s="2" t="s">
        <v>24</v>
      </c>
      <c r="G44" s="2" t="s">
        <v>25</v>
      </c>
      <c r="H44" s="2" t="s">
        <v>81</v>
      </c>
      <c r="I44" s="2" t="s">
        <v>191</v>
      </c>
      <c r="J44" s="2" t="s">
        <v>192</v>
      </c>
      <c r="K44" s="2" t="s">
        <v>63</v>
      </c>
      <c r="L44" s="2" t="s">
        <v>54</v>
      </c>
      <c r="M44" s="2">
        <v>59506</v>
      </c>
      <c r="N44" s="2" t="s">
        <v>64</v>
      </c>
      <c r="O44" s="2">
        <v>4428</v>
      </c>
      <c r="P44" s="2" t="s">
        <v>65</v>
      </c>
      <c r="Q44" s="2">
        <v>0</v>
      </c>
      <c r="R44" s="2">
        <v>1</v>
      </c>
      <c r="S44" s="2" t="s">
        <v>46</v>
      </c>
      <c r="T44" s="2" t="s">
        <v>75</v>
      </c>
      <c r="U44" s="2" t="s">
        <v>35</v>
      </c>
    </row>
    <row r="45" spans="1:21">
      <c r="A45" s="2">
        <v>10044</v>
      </c>
      <c r="B45" s="2" t="s">
        <v>193</v>
      </c>
      <c r="C45" s="2" t="s">
        <v>22</v>
      </c>
      <c r="D45" s="2">
        <v>46</v>
      </c>
      <c r="E45" s="2" t="s">
        <v>98</v>
      </c>
      <c r="F45" s="2" t="s">
        <v>49</v>
      </c>
      <c r="G45" s="2" t="s">
        <v>40</v>
      </c>
      <c r="H45" s="2" t="s">
        <v>81</v>
      </c>
      <c r="I45" s="2" t="s">
        <v>194</v>
      </c>
      <c r="J45" s="2" t="s">
        <v>195</v>
      </c>
      <c r="K45" s="2" t="s">
        <v>63</v>
      </c>
      <c r="L45" s="2" t="s">
        <v>54</v>
      </c>
      <c r="M45" s="2">
        <v>49058</v>
      </c>
      <c r="N45" s="2" t="s">
        <v>45</v>
      </c>
      <c r="O45" s="2">
        <v>4396</v>
      </c>
      <c r="P45" s="2" t="s">
        <v>46</v>
      </c>
      <c r="Q45" s="2">
        <v>5</v>
      </c>
      <c r="R45" s="2">
        <v>1</v>
      </c>
      <c r="S45" s="2" t="s">
        <v>46</v>
      </c>
      <c r="T45" s="2" t="s">
        <v>75</v>
      </c>
      <c r="U45" s="2" t="s">
        <v>46</v>
      </c>
    </row>
    <row r="46" spans="1:21">
      <c r="A46" s="2">
        <v>10045</v>
      </c>
      <c r="B46" s="2" t="s">
        <v>196</v>
      </c>
      <c r="C46" s="2" t="s">
        <v>22</v>
      </c>
      <c r="D46" s="2">
        <v>36</v>
      </c>
      <c r="E46" s="2" t="s">
        <v>59</v>
      </c>
      <c r="F46" s="2" t="s">
        <v>80</v>
      </c>
      <c r="G46" s="2" t="s">
        <v>50</v>
      </c>
      <c r="H46" s="2" t="s">
        <v>81</v>
      </c>
      <c r="I46" s="2" t="s">
        <v>197</v>
      </c>
      <c r="J46" s="2" t="s">
        <v>198</v>
      </c>
      <c r="K46" s="2" t="s">
        <v>63</v>
      </c>
      <c r="L46" s="2" t="s">
        <v>30</v>
      </c>
      <c r="M46" s="2">
        <v>98612</v>
      </c>
      <c r="N46" s="2" t="s">
        <v>64</v>
      </c>
      <c r="O46" s="2">
        <v>1168</v>
      </c>
      <c r="P46" s="2" t="s">
        <v>46</v>
      </c>
      <c r="Q46" s="2">
        <v>9</v>
      </c>
      <c r="R46" s="2">
        <v>2</v>
      </c>
      <c r="S46" s="2" t="s">
        <v>47</v>
      </c>
      <c r="T46" s="2" t="s">
        <v>34</v>
      </c>
      <c r="U46" s="2" t="s">
        <v>35</v>
      </c>
    </row>
    <row r="47" spans="1:21">
      <c r="A47" s="2">
        <v>10046</v>
      </c>
      <c r="B47" s="2" t="s">
        <v>199</v>
      </c>
      <c r="C47" s="2" t="s">
        <v>37</v>
      </c>
      <c r="D47" s="2">
        <v>41</v>
      </c>
      <c r="E47" s="2" t="s">
        <v>59</v>
      </c>
      <c r="F47" s="2" t="s">
        <v>102</v>
      </c>
      <c r="G47" s="2" t="s">
        <v>72</v>
      </c>
      <c r="H47" s="2" t="s">
        <v>41</v>
      </c>
      <c r="I47" s="2" t="s">
        <v>200</v>
      </c>
      <c r="J47" s="2" t="s">
        <v>201</v>
      </c>
      <c r="K47" s="2" t="s">
        <v>111</v>
      </c>
      <c r="L47" s="2" t="s">
        <v>44</v>
      </c>
      <c r="M47" s="2">
        <v>38201</v>
      </c>
      <c r="N47" s="2" t="s">
        <v>64</v>
      </c>
      <c r="O47" s="2">
        <v>7111</v>
      </c>
      <c r="P47" s="2" t="s">
        <v>32</v>
      </c>
      <c r="Q47" s="2">
        <v>8</v>
      </c>
      <c r="R47" s="2">
        <v>4</v>
      </c>
      <c r="S47" s="2" t="s">
        <v>33</v>
      </c>
      <c r="T47" s="2" t="s">
        <v>75</v>
      </c>
      <c r="U47" s="2" t="s">
        <v>46</v>
      </c>
    </row>
    <row r="48" spans="1:21">
      <c r="A48" s="2">
        <v>10047</v>
      </c>
      <c r="B48" s="2" t="s">
        <v>202</v>
      </c>
      <c r="C48" s="2" t="s">
        <v>37</v>
      </c>
      <c r="D48" s="2">
        <v>25</v>
      </c>
      <c r="E48" s="2" t="s">
        <v>23</v>
      </c>
      <c r="F48" s="2" t="s">
        <v>24</v>
      </c>
      <c r="G48" s="2" t="s">
        <v>50</v>
      </c>
      <c r="H48" s="2" t="s">
        <v>51</v>
      </c>
      <c r="I48" s="2" t="s">
        <v>203</v>
      </c>
      <c r="J48" s="2" t="s">
        <v>204</v>
      </c>
      <c r="K48" s="2" t="s">
        <v>111</v>
      </c>
      <c r="L48" s="2" t="s">
        <v>44</v>
      </c>
      <c r="M48" s="2">
        <v>92919</v>
      </c>
      <c r="N48" s="2" t="s">
        <v>55</v>
      </c>
      <c r="O48" s="2">
        <v>9497</v>
      </c>
      <c r="P48" s="2" t="s">
        <v>32</v>
      </c>
      <c r="Q48" s="2">
        <v>7</v>
      </c>
      <c r="R48" s="2">
        <v>2</v>
      </c>
      <c r="S48" s="2" t="s">
        <v>46</v>
      </c>
      <c r="T48" s="2" t="s">
        <v>75</v>
      </c>
      <c r="U48" s="2" t="s">
        <v>57</v>
      </c>
    </row>
    <row r="49" spans="1:21">
      <c r="A49" s="2">
        <v>10048</v>
      </c>
      <c r="B49" s="2" t="s">
        <v>205</v>
      </c>
      <c r="C49" s="2" t="s">
        <v>22</v>
      </c>
      <c r="D49" s="2">
        <v>29</v>
      </c>
      <c r="E49" s="2" t="s">
        <v>38</v>
      </c>
      <c r="F49" s="2" t="s">
        <v>102</v>
      </c>
      <c r="G49" s="2" t="s">
        <v>25</v>
      </c>
      <c r="H49" s="2" t="s">
        <v>41</v>
      </c>
      <c r="I49" s="2" t="s">
        <v>206</v>
      </c>
      <c r="J49" s="2" t="s">
        <v>207</v>
      </c>
      <c r="K49" s="2" t="s">
        <v>29</v>
      </c>
      <c r="L49" s="2" t="s">
        <v>54</v>
      </c>
      <c r="M49" s="2">
        <v>45188</v>
      </c>
      <c r="N49" s="2" t="s">
        <v>64</v>
      </c>
      <c r="O49" s="2">
        <v>9591</v>
      </c>
      <c r="P49" s="2" t="s">
        <v>65</v>
      </c>
      <c r="Q49" s="2">
        <v>18</v>
      </c>
      <c r="R49" s="2">
        <v>3</v>
      </c>
      <c r="S49" s="2" t="s">
        <v>33</v>
      </c>
      <c r="T49" s="2" t="s">
        <v>75</v>
      </c>
      <c r="U49" s="2" t="s">
        <v>46</v>
      </c>
    </row>
    <row r="50" spans="1:21">
      <c r="A50" s="2">
        <v>10049</v>
      </c>
      <c r="B50" s="2" t="s">
        <v>208</v>
      </c>
      <c r="C50" s="2" t="s">
        <v>22</v>
      </c>
      <c r="D50" s="2">
        <v>59</v>
      </c>
      <c r="E50" s="2" t="s">
        <v>68</v>
      </c>
      <c r="F50" s="2" t="s">
        <v>49</v>
      </c>
      <c r="G50" s="2" t="s">
        <v>40</v>
      </c>
      <c r="H50" s="2" t="s">
        <v>26</v>
      </c>
      <c r="I50" s="2" t="s">
        <v>209</v>
      </c>
      <c r="J50" s="2" t="s">
        <v>210</v>
      </c>
      <c r="K50" s="2" t="s">
        <v>29</v>
      </c>
      <c r="L50" s="2" t="s">
        <v>44</v>
      </c>
      <c r="M50" s="2">
        <v>34927</v>
      </c>
      <c r="N50" s="2" t="s">
        <v>55</v>
      </c>
      <c r="O50" s="2">
        <v>6996</v>
      </c>
      <c r="P50" s="2" t="s">
        <v>65</v>
      </c>
      <c r="Q50" s="2">
        <v>16</v>
      </c>
      <c r="R50" s="2">
        <v>1</v>
      </c>
      <c r="S50" s="2" t="s">
        <v>47</v>
      </c>
      <c r="T50" s="2" t="s">
        <v>34</v>
      </c>
      <c r="U50" s="2" t="s">
        <v>35</v>
      </c>
    </row>
    <row r="51" spans="1:21">
      <c r="A51" s="2">
        <v>10050</v>
      </c>
      <c r="B51" s="2"/>
      <c r="C51" s="2" t="s">
        <v>22</v>
      </c>
      <c r="D51" s="2">
        <v>27</v>
      </c>
      <c r="E51" s="2" t="s">
        <v>38</v>
      </c>
      <c r="F51" s="2" t="s">
        <v>24</v>
      </c>
      <c r="G51" s="2" t="s">
        <v>50</v>
      </c>
      <c r="H51" s="2" t="s">
        <v>60</v>
      </c>
      <c r="I51" s="2" t="s">
        <v>211</v>
      </c>
      <c r="J51" s="2" t="s">
        <v>212</v>
      </c>
      <c r="K51" s="2" t="s">
        <v>29</v>
      </c>
      <c r="L51" s="2" t="s">
        <v>44</v>
      </c>
      <c r="M51" s="2">
        <v>33183</v>
      </c>
      <c r="N51" s="2" t="s">
        <v>64</v>
      </c>
      <c r="O51" s="2">
        <v>1659</v>
      </c>
      <c r="P51" s="2" t="s">
        <v>46</v>
      </c>
      <c r="Q51" s="2">
        <v>11</v>
      </c>
      <c r="R51" s="2">
        <v>1</v>
      </c>
      <c r="S51" s="2" t="s">
        <v>33</v>
      </c>
      <c r="T51" s="2" t="s">
        <v>66</v>
      </c>
      <c r="U51" s="2" t="s">
        <v>46</v>
      </c>
    </row>
    <row r="52" spans="1:21">
      <c r="A52" s="2">
        <v>10051</v>
      </c>
      <c r="B52" s="2" t="s">
        <v>213</v>
      </c>
      <c r="C52" s="2" t="s">
        <v>22</v>
      </c>
      <c r="D52" s="2">
        <v>58</v>
      </c>
      <c r="E52" s="2" t="s">
        <v>68</v>
      </c>
      <c r="F52" s="2" t="s">
        <v>39</v>
      </c>
      <c r="G52" s="2" t="s">
        <v>50</v>
      </c>
      <c r="H52" s="2" t="s">
        <v>81</v>
      </c>
      <c r="I52" s="2" t="s">
        <v>214</v>
      </c>
      <c r="J52" s="2" t="s">
        <v>215</v>
      </c>
      <c r="K52" s="2" t="s">
        <v>111</v>
      </c>
      <c r="L52" s="2" t="s">
        <v>30</v>
      </c>
      <c r="M52" s="2">
        <v>69488</v>
      </c>
      <c r="N52" s="2" t="s">
        <v>55</v>
      </c>
      <c r="O52" s="2">
        <v>8580</v>
      </c>
      <c r="P52" s="2" t="s">
        <v>65</v>
      </c>
      <c r="Q52" s="2">
        <v>17</v>
      </c>
      <c r="R52" s="2">
        <v>4</v>
      </c>
      <c r="S52" s="2" t="s">
        <v>47</v>
      </c>
      <c r="T52" s="2" t="s">
        <v>75</v>
      </c>
      <c r="U52" s="2" t="s">
        <v>57</v>
      </c>
    </row>
    <row r="53" spans="1:21">
      <c r="A53" s="2">
        <v>10052</v>
      </c>
      <c r="B53" s="2" t="s">
        <v>216</v>
      </c>
      <c r="C53" s="2" t="s">
        <v>22</v>
      </c>
      <c r="D53" s="2">
        <v>30</v>
      </c>
      <c r="E53" s="2" t="s">
        <v>38</v>
      </c>
      <c r="F53" s="2" t="s">
        <v>80</v>
      </c>
      <c r="G53" s="2" t="s">
        <v>25</v>
      </c>
      <c r="H53" s="2" t="s">
        <v>51</v>
      </c>
      <c r="I53" s="2" t="s">
        <v>214</v>
      </c>
      <c r="J53" s="2" t="s">
        <v>217</v>
      </c>
      <c r="K53" s="2" t="s">
        <v>29</v>
      </c>
      <c r="L53" s="2" t="s">
        <v>30</v>
      </c>
      <c r="M53" s="2">
        <v>91851</v>
      </c>
      <c r="N53" s="2" t="s">
        <v>64</v>
      </c>
      <c r="O53" s="2">
        <v>2168</v>
      </c>
      <c r="P53" s="2" t="s">
        <v>46</v>
      </c>
      <c r="Q53" s="2">
        <v>18</v>
      </c>
      <c r="R53" s="2">
        <v>5</v>
      </c>
      <c r="S53" s="2" t="s">
        <v>47</v>
      </c>
      <c r="T53" s="2" t="s">
        <v>56</v>
      </c>
      <c r="U53" s="2" t="s">
        <v>35</v>
      </c>
    </row>
    <row r="54" spans="1:21">
      <c r="A54" s="2">
        <v>10053</v>
      </c>
      <c r="B54" s="2" t="s">
        <v>218</v>
      </c>
      <c r="C54" s="2" t="s">
        <v>22</v>
      </c>
      <c r="D54" s="2">
        <v>48</v>
      </c>
      <c r="E54" s="2" t="s">
        <v>98</v>
      </c>
      <c r="F54" s="2" t="s">
        <v>80</v>
      </c>
      <c r="G54" s="2" t="s">
        <v>50</v>
      </c>
      <c r="H54" s="2" t="s">
        <v>41</v>
      </c>
      <c r="I54" s="2" t="s">
        <v>219</v>
      </c>
      <c r="J54" s="2" t="s">
        <v>220</v>
      </c>
      <c r="K54" s="2" t="s">
        <v>29</v>
      </c>
      <c r="L54" s="2" t="s">
        <v>54</v>
      </c>
      <c r="M54" s="2">
        <v>51460</v>
      </c>
      <c r="N54" s="2" t="s">
        <v>31</v>
      </c>
      <c r="O54" s="2">
        <v>8859</v>
      </c>
      <c r="P54" s="2" t="s">
        <v>32</v>
      </c>
      <c r="Q54" s="2">
        <v>7</v>
      </c>
      <c r="R54" s="2">
        <v>4</v>
      </c>
      <c r="S54" s="2" t="s">
        <v>47</v>
      </c>
      <c r="T54" s="2" t="s">
        <v>56</v>
      </c>
      <c r="U54" s="2" t="s">
        <v>57</v>
      </c>
    </row>
    <row r="55" spans="1:21">
      <c r="A55" s="2">
        <v>10054</v>
      </c>
      <c r="B55" s="2" t="s">
        <v>221</v>
      </c>
      <c r="C55" s="2" t="s">
        <v>37</v>
      </c>
      <c r="D55" s="2">
        <v>39</v>
      </c>
      <c r="E55" s="2" t="s">
        <v>59</v>
      </c>
      <c r="F55" s="2" t="s">
        <v>102</v>
      </c>
      <c r="G55" s="2" t="s">
        <v>50</v>
      </c>
      <c r="H55" s="2" t="s">
        <v>51</v>
      </c>
      <c r="I55" s="2" t="s">
        <v>222</v>
      </c>
      <c r="J55" s="2" t="s">
        <v>223</v>
      </c>
      <c r="K55" s="2" t="s">
        <v>29</v>
      </c>
      <c r="L55" s="2" t="s">
        <v>44</v>
      </c>
      <c r="M55" s="2">
        <v>84341</v>
      </c>
      <c r="N55" s="2" t="s">
        <v>45</v>
      </c>
      <c r="O55" s="2">
        <v>3800</v>
      </c>
      <c r="P55" s="2" t="s">
        <v>65</v>
      </c>
      <c r="Q55" s="2">
        <v>3</v>
      </c>
      <c r="R55" s="2">
        <v>5</v>
      </c>
      <c r="S55" s="2" t="s">
        <v>33</v>
      </c>
      <c r="T55" s="2" t="s">
        <v>96</v>
      </c>
      <c r="U55" s="2" t="s">
        <v>35</v>
      </c>
    </row>
    <row r="56" spans="1:21">
      <c r="A56" s="2">
        <v>10055</v>
      </c>
      <c r="B56" s="2" t="s">
        <v>224</v>
      </c>
      <c r="C56" s="2" t="s">
        <v>22</v>
      </c>
      <c r="D56" s="2">
        <v>33</v>
      </c>
      <c r="E56" s="2" t="s">
        <v>38</v>
      </c>
      <c r="F56" s="2" t="s">
        <v>102</v>
      </c>
      <c r="G56" s="2" t="s">
        <v>40</v>
      </c>
      <c r="H56" s="2" t="s">
        <v>60</v>
      </c>
      <c r="I56" s="2" t="s">
        <v>222</v>
      </c>
      <c r="J56" s="2" t="s">
        <v>225</v>
      </c>
      <c r="K56" s="2" t="s">
        <v>29</v>
      </c>
      <c r="L56" s="2" t="s">
        <v>54</v>
      </c>
      <c r="M56" s="2">
        <v>77360</v>
      </c>
      <c r="N56" s="2" t="s">
        <v>45</v>
      </c>
      <c r="O56" s="2">
        <v>2665</v>
      </c>
      <c r="P56" s="2" t="s">
        <v>32</v>
      </c>
      <c r="Q56" s="2">
        <v>5</v>
      </c>
      <c r="R56" s="2">
        <v>3</v>
      </c>
      <c r="S56" s="2" t="s">
        <v>46</v>
      </c>
      <c r="T56" s="2" t="s">
        <v>66</v>
      </c>
      <c r="U56" s="2" t="s">
        <v>46</v>
      </c>
    </row>
    <row r="57" spans="1:21">
      <c r="A57" s="2">
        <v>10056</v>
      </c>
      <c r="B57" s="2" t="s">
        <v>226</v>
      </c>
      <c r="C57" s="2" t="s">
        <v>37</v>
      </c>
      <c r="D57" s="2">
        <v>49</v>
      </c>
      <c r="E57" s="2" t="s">
        <v>98</v>
      </c>
      <c r="F57" s="2" t="s">
        <v>102</v>
      </c>
      <c r="G57" s="2" t="s">
        <v>121</v>
      </c>
      <c r="H57" s="2" t="s">
        <v>51</v>
      </c>
      <c r="I57" s="2" t="s">
        <v>222</v>
      </c>
      <c r="J57" s="2" t="s">
        <v>227</v>
      </c>
      <c r="K57" s="2" t="s">
        <v>63</v>
      </c>
      <c r="L57" s="2" t="s">
        <v>44</v>
      </c>
      <c r="M57" s="2">
        <v>72691</v>
      </c>
      <c r="N57" s="2" t="s">
        <v>31</v>
      </c>
      <c r="O57" s="2">
        <v>7797</v>
      </c>
      <c r="P57" s="2" t="s">
        <v>65</v>
      </c>
      <c r="Q57" s="2">
        <v>12</v>
      </c>
      <c r="R57" s="2">
        <v>5</v>
      </c>
      <c r="S57" s="2" t="s">
        <v>47</v>
      </c>
      <c r="T57" s="2" t="s">
        <v>34</v>
      </c>
      <c r="U57" s="2" t="s">
        <v>35</v>
      </c>
    </row>
    <row r="58" spans="1:21">
      <c r="A58" s="2">
        <v>10057</v>
      </c>
      <c r="B58" s="2" t="s">
        <v>228</v>
      </c>
      <c r="C58" s="2" t="s">
        <v>22</v>
      </c>
      <c r="D58" s="2">
        <v>43</v>
      </c>
      <c r="E58" s="2" t="s">
        <v>59</v>
      </c>
      <c r="F58" s="2" t="s">
        <v>102</v>
      </c>
      <c r="G58" s="2" t="s">
        <v>50</v>
      </c>
      <c r="H58" s="2" t="s">
        <v>41</v>
      </c>
      <c r="I58" s="2" t="s">
        <v>229</v>
      </c>
      <c r="J58" s="2" t="s">
        <v>230</v>
      </c>
      <c r="K58" s="2" t="s">
        <v>63</v>
      </c>
      <c r="L58" s="2" t="s">
        <v>54</v>
      </c>
      <c r="M58" s="2">
        <v>74746</v>
      </c>
      <c r="N58" s="2" t="s">
        <v>55</v>
      </c>
      <c r="O58" s="2">
        <v>4644</v>
      </c>
      <c r="P58" s="2" t="s">
        <v>46</v>
      </c>
      <c r="Q58" s="2">
        <v>16</v>
      </c>
      <c r="R58" s="2">
        <v>3</v>
      </c>
      <c r="S58" s="2" t="s">
        <v>33</v>
      </c>
      <c r="T58" s="2" t="s">
        <v>34</v>
      </c>
      <c r="U58" s="2" t="s">
        <v>46</v>
      </c>
    </row>
    <row r="59" spans="1:21">
      <c r="A59" s="2">
        <v>10058</v>
      </c>
      <c r="B59" s="2" t="s">
        <v>231</v>
      </c>
      <c r="C59" s="2" t="s">
        <v>37</v>
      </c>
      <c r="D59" s="2">
        <v>29</v>
      </c>
      <c r="E59" s="2" t="s">
        <v>38</v>
      </c>
      <c r="F59" s="2" t="s">
        <v>80</v>
      </c>
      <c r="G59" s="2" t="s">
        <v>40</v>
      </c>
      <c r="H59" s="2" t="s">
        <v>51</v>
      </c>
      <c r="I59" s="2" t="s">
        <v>232</v>
      </c>
      <c r="J59" s="2" t="s">
        <v>233</v>
      </c>
      <c r="K59" s="2" t="s">
        <v>111</v>
      </c>
      <c r="L59" s="2" t="s">
        <v>54</v>
      </c>
      <c r="M59" s="2">
        <v>95491</v>
      </c>
      <c r="N59" s="2" t="s">
        <v>64</v>
      </c>
      <c r="O59" s="2">
        <v>8819</v>
      </c>
      <c r="P59" s="2" t="s">
        <v>65</v>
      </c>
      <c r="Q59" s="2">
        <v>0</v>
      </c>
      <c r="R59" s="2">
        <v>5</v>
      </c>
      <c r="S59" s="2" t="s">
        <v>46</v>
      </c>
      <c r="T59" s="2" t="s">
        <v>66</v>
      </c>
      <c r="U59" s="2" t="s">
        <v>46</v>
      </c>
    </row>
    <row r="60" spans="1:21">
      <c r="A60" s="2">
        <v>10059</v>
      </c>
      <c r="B60" s="2" t="s">
        <v>234</v>
      </c>
      <c r="C60" s="2" t="s">
        <v>22</v>
      </c>
      <c r="D60" s="2">
        <v>60</v>
      </c>
      <c r="E60" s="2" t="s">
        <v>68</v>
      </c>
      <c r="F60" s="2" t="s">
        <v>24</v>
      </c>
      <c r="G60" s="2" t="s">
        <v>25</v>
      </c>
      <c r="H60" s="2" t="s">
        <v>26</v>
      </c>
      <c r="I60" s="2" t="s">
        <v>229</v>
      </c>
      <c r="J60" s="2" t="s">
        <v>235</v>
      </c>
      <c r="K60" s="2" t="s">
        <v>29</v>
      </c>
      <c r="L60" s="2" t="s">
        <v>44</v>
      </c>
      <c r="M60" s="2">
        <v>95671</v>
      </c>
      <c r="N60" s="2" t="s">
        <v>55</v>
      </c>
      <c r="O60" s="2">
        <v>2643</v>
      </c>
      <c r="P60" s="2" t="s">
        <v>65</v>
      </c>
      <c r="Q60" s="2">
        <v>18</v>
      </c>
      <c r="R60" s="2">
        <v>1</v>
      </c>
      <c r="S60" s="2" t="s">
        <v>46</v>
      </c>
      <c r="T60" s="2" t="s">
        <v>66</v>
      </c>
      <c r="U60" s="2" t="s">
        <v>46</v>
      </c>
    </row>
    <row r="61" spans="1:21">
      <c r="A61" s="2">
        <v>10060</v>
      </c>
      <c r="B61" s="2" t="s">
        <v>236</v>
      </c>
      <c r="C61" s="2" t="s">
        <v>22</v>
      </c>
      <c r="D61" s="2">
        <v>42</v>
      </c>
      <c r="E61" s="2" t="s">
        <v>59</v>
      </c>
      <c r="F61" s="2" t="s">
        <v>24</v>
      </c>
      <c r="G61" s="2" t="s">
        <v>50</v>
      </c>
      <c r="H61" s="2" t="s">
        <v>51</v>
      </c>
      <c r="I61" s="2" t="s">
        <v>232</v>
      </c>
      <c r="J61" s="2" t="s">
        <v>237</v>
      </c>
      <c r="K61" s="2" t="s">
        <v>29</v>
      </c>
      <c r="L61" s="2" t="s">
        <v>44</v>
      </c>
      <c r="M61" s="2">
        <v>40925</v>
      </c>
      <c r="N61" s="2" t="s">
        <v>31</v>
      </c>
      <c r="O61" s="2">
        <v>4223</v>
      </c>
      <c r="P61" s="2" t="s">
        <v>46</v>
      </c>
      <c r="Q61" s="2">
        <v>16</v>
      </c>
      <c r="R61" s="2">
        <v>5</v>
      </c>
      <c r="S61" s="2" t="s">
        <v>47</v>
      </c>
      <c r="T61" s="2" t="s">
        <v>66</v>
      </c>
      <c r="U61" s="2" t="s">
        <v>57</v>
      </c>
    </row>
    <row r="62" spans="1:21">
      <c r="A62" s="2">
        <v>10061</v>
      </c>
      <c r="B62" s="2" t="s">
        <v>238</v>
      </c>
      <c r="C62" s="2" t="s">
        <v>22</v>
      </c>
      <c r="D62" s="2">
        <v>36</v>
      </c>
      <c r="E62" s="2" t="s">
        <v>59</v>
      </c>
      <c r="F62" s="2" t="s">
        <v>80</v>
      </c>
      <c r="G62" s="2" t="s">
        <v>40</v>
      </c>
      <c r="H62" s="2" t="s">
        <v>41</v>
      </c>
      <c r="I62" s="2" t="s">
        <v>229</v>
      </c>
      <c r="J62" s="2" t="s">
        <v>239</v>
      </c>
      <c r="K62" s="2" t="s">
        <v>63</v>
      </c>
      <c r="L62" s="2" t="s">
        <v>44</v>
      </c>
      <c r="M62" s="2">
        <v>64593</v>
      </c>
      <c r="N62" s="2" t="s">
        <v>31</v>
      </c>
      <c r="O62" s="2">
        <v>6492</v>
      </c>
      <c r="P62" s="2" t="s">
        <v>46</v>
      </c>
      <c r="Q62" s="2">
        <v>2</v>
      </c>
      <c r="R62" s="2">
        <v>3</v>
      </c>
      <c r="S62" s="2" t="s">
        <v>46</v>
      </c>
      <c r="T62" s="2" t="s">
        <v>34</v>
      </c>
      <c r="U62" s="2" t="s">
        <v>35</v>
      </c>
    </row>
    <row r="63" spans="1:21">
      <c r="A63" s="2">
        <v>10062</v>
      </c>
      <c r="B63" s="2" t="s">
        <v>240</v>
      </c>
      <c r="C63" s="2" t="s">
        <v>37</v>
      </c>
      <c r="D63" s="2">
        <v>33</v>
      </c>
      <c r="E63" s="2" t="s">
        <v>38</v>
      </c>
      <c r="F63" s="2" t="s">
        <v>24</v>
      </c>
      <c r="G63" s="2" t="s">
        <v>121</v>
      </c>
      <c r="H63" s="2" t="s">
        <v>26</v>
      </c>
      <c r="I63" s="2" t="s">
        <v>229</v>
      </c>
      <c r="J63" s="2" t="s">
        <v>241</v>
      </c>
      <c r="K63" s="2" t="s">
        <v>63</v>
      </c>
      <c r="L63" s="2" t="s">
        <v>54</v>
      </c>
      <c r="M63" s="2">
        <v>44149</v>
      </c>
      <c r="N63" s="2" t="s">
        <v>31</v>
      </c>
      <c r="O63" s="2">
        <v>7407</v>
      </c>
      <c r="P63" s="2" t="s">
        <v>32</v>
      </c>
      <c r="Q63" s="2">
        <v>17</v>
      </c>
      <c r="R63" s="2">
        <v>3</v>
      </c>
      <c r="S63" s="2" t="s">
        <v>46</v>
      </c>
      <c r="T63" s="2" t="s">
        <v>96</v>
      </c>
      <c r="U63" s="2" t="s">
        <v>46</v>
      </c>
    </row>
    <row r="64" spans="1:21">
      <c r="A64" s="2">
        <v>10063</v>
      </c>
      <c r="B64" s="2" t="s">
        <v>242</v>
      </c>
      <c r="C64" s="2" t="s">
        <v>22</v>
      </c>
      <c r="D64" s="2">
        <v>31</v>
      </c>
      <c r="E64" s="2" t="s">
        <v>38</v>
      </c>
      <c r="F64" s="2" t="s">
        <v>24</v>
      </c>
      <c r="G64" s="2" t="s">
        <v>121</v>
      </c>
      <c r="H64" s="2" t="s">
        <v>26</v>
      </c>
      <c r="I64" s="2" t="s">
        <v>232</v>
      </c>
      <c r="J64" s="2" t="s">
        <v>243</v>
      </c>
      <c r="K64" s="2" t="s">
        <v>29</v>
      </c>
      <c r="L64" s="2" t="s">
        <v>30</v>
      </c>
      <c r="M64" s="2">
        <v>52519</v>
      </c>
      <c r="N64" s="2" t="s">
        <v>31</v>
      </c>
      <c r="O64" s="2">
        <v>2677</v>
      </c>
      <c r="P64" s="2" t="s">
        <v>32</v>
      </c>
      <c r="Q64" s="2">
        <v>14</v>
      </c>
      <c r="R64" s="2">
        <v>1</v>
      </c>
      <c r="S64" s="2" t="s">
        <v>47</v>
      </c>
      <c r="T64" s="2" t="s">
        <v>75</v>
      </c>
      <c r="U64" s="2" t="s">
        <v>46</v>
      </c>
    </row>
    <row r="65" spans="1:21">
      <c r="A65" s="2">
        <v>10064</v>
      </c>
      <c r="B65" s="2" t="s">
        <v>244</v>
      </c>
      <c r="C65" s="2" t="s">
        <v>37</v>
      </c>
      <c r="D65" s="2">
        <v>45</v>
      </c>
      <c r="E65" s="2" t="s">
        <v>59</v>
      </c>
      <c r="F65" s="2" t="s">
        <v>24</v>
      </c>
      <c r="G65" s="2" t="s">
        <v>72</v>
      </c>
      <c r="H65" s="2" t="s">
        <v>51</v>
      </c>
      <c r="I65" s="2" t="s">
        <v>214</v>
      </c>
      <c r="J65" s="2" t="s">
        <v>245</v>
      </c>
      <c r="K65" s="2" t="s">
        <v>63</v>
      </c>
      <c r="L65" s="2" t="s">
        <v>30</v>
      </c>
      <c r="M65" s="2">
        <v>95503</v>
      </c>
      <c r="N65" s="2" t="s">
        <v>55</v>
      </c>
      <c r="O65" s="2">
        <v>6862</v>
      </c>
      <c r="P65" s="2" t="s">
        <v>32</v>
      </c>
      <c r="Q65" s="2">
        <v>5</v>
      </c>
      <c r="R65" s="2">
        <v>2</v>
      </c>
      <c r="S65" s="2" t="s">
        <v>47</v>
      </c>
      <c r="T65" s="2" t="s">
        <v>75</v>
      </c>
      <c r="U65" s="2" t="s">
        <v>46</v>
      </c>
    </row>
    <row r="66" spans="1:21">
      <c r="A66" s="2">
        <v>10065</v>
      </c>
      <c r="B66" s="2" t="s">
        <v>216</v>
      </c>
      <c r="C66" s="2" t="s">
        <v>37</v>
      </c>
      <c r="D66" s="2">
        <v>21</v>
      </c>
      <c r="E66" s="2" t="s">
        <v>23</v>
      </c>
      <c r="F66" s="2" t="s">
        <v>39</v>
      </c>
      <c r="G66" s="2" t="s">
        <v>40</v>
      </c>
      <c r="H66" s="2" t="s">
        <v>60</v>
      </c>
      <c r="I66" s="2" t="s">
        <v>232</v>
      </c>
      <c r="J66" s="2" t="s">
        <v>246</v>
      </c>
      <c r="K66" s="2" t="s">
        <v>63</v>
      </c>
      <c r="L66" s="2" t="s">
        <v>44</v>
      </c>
      <c r="M66" s="2">
        <v>74633</v>
      </c>
      <c r="N66" s="2" t="s">
        <v>31</v>
      </c>
      <c r="O66" s="2">
        <v>4970</v>
      </c>
      <c r="P66" s="2" t="s">
        <v>65</v>
      </c>
      <c r="Q66" s="2">
        <v>14</v>
      </c>
      <c r="R66" s="2">
        <v>4</v>
      </c>
      <c r="S66" s="2" t="s">
        <v>46</v>
      </c>
      <c r="T66" s="2" t="s">
        <v>34</v>
      </c>
      <c r="U66" s="2" t="s">
        <v>46</v>
      </c>
    </row>
    <row r="67" spans="1:21">
      <c r="A67" s="2">
        <v>10066</v>
      </c>
      <c r="B67" s="2" t="s">
        <v>247</v>
      </c>
      <c r="C67" s="2" t="s">
        <v>37</v>
      </c>
      <c r="D67" s="2">
        <v>25</v>
      </c>
      <c r="E67" s="2" t="s">
        <v>23</v>
      </c>
      <c r="F67" s="2" t="s">
        <v>80</v>
      </c>
      <c r="G67" s="2" t="s">
        <v>40</v>
      </c>
      <c r="H67" s="2" t="s">
        <v>51</v>
      </c>
      <c r="I67" s="2" t="s">
        <v>229</v>
      </c>
      <c r="J67" s="2" t="s">
        <v>248</v>
      </c>
      <c r="K67" s="2" t="s">
        <v>111</v>
      </c>
      <c r="L67" s="2" t="s">
        <v>30</v>
      </c>
      <c r="M67" s="2">
        <v>45687</v>
      </c>
      <c r="N67" s="2" t="s">
        <v>31</v>
      </c>
      <c r="O67" s="2">
        <v>9351</v>
      </c>
      <c r="P67" s="2" t="s">
        <v>32</v>
      </c>
      <c r="Q67" s="2">
        <v>4</v>
      </c>
      <c r="R67" s="2">
        <v>4</v>
      </c>
      <c r="S67" s="2" t="s">
        <v>46</v>
      </c>
      <c r="T67" s="2" t="s">
        <v>96</v>
      </c>
      <c r="U67" s="2" t="s">
        <v>35</v>
      </c>
    </row>
    <row r="68" spans="1:21">
      <c r="A68" s="2">
        <v>10067</v>
      </c>
      <c r="B68" s="2" t="s">
        <v>231</v>
      </c>
      <c r="C68" s="2" t="s">
        <v>37</v>
      </c>
      <c r="D68" s="2">
        <v>21</v>
      </c>
      <c r="E68" s="2" t="s">
        <v>23</v>
      </c>
      <c r="F68" s="2" t="s">
        <v>102</v>
      </c>
      <c r="G68" s="2" t="s">
        <v>72</v>
      </c>
      <c r="H68" s="2" t="s">
        <v>41</v>
      </c>
      <c r="I68" s="2" t="s">
        <v>229</v>
      </c>
      <c r="J68" s="2" t="s">
        <v>249</v>
      </c>
      <c r="K68" s="2" t="s">
        <v>29</v>
      </c>
      <c r="L68" s="2" t="s">
        <v>54</v>
      </c>
      <c r="M68" s="2">
        <v>38728</v>
      </c>
      <c r="N68" s="2" t="s">
        <v>64</v>
      </c>
      <c r="O68" s="2">
        <v>2444</v>
      </c>
      <c r="P68" s="2" t="s">
        <v>32</v>
      </c>
      <c r="Q68" s="2">
        <v>2</v>
      </c>
      <c r="R68" s="2">
        <v>2</v>
      </c>
      <c r="S68" s="2" t="s">
        <v>33</v>
      </c>
      <c r="T68" s="2" t="s">
        <v>56</v>
      </c>
      <c r="U68" s="2" t="s">
        <v>46</v>
      </c>
    </row>
    <row r="69" spans="1:21">
      <c r="A69" s="2">
        <v>10068</v>
      </c>
      <c r="B69" s="2" t="s">
        <v>250</v>
      </c>
      <c r="C69" s="2" t="s">
        <v>22</v>
      </c>
      <c r="D69" s="2">
        <v>52</v>
      </c>
      <c r="E69" s="2" t="s">
        <v>98</v>
      </c>
      <c r="F69" s="2" t="s">
        <v>39</v>
      </c>
      <c r="G69" s="2" t="s">
        <v>72</v>
      </c>
      <c r="H69" s="2" t="s">
        <v>81</v>
      </c>
      <c r="I69" s="2" t="s">
        <v>214</v>
      </c>
      <c r="J69" s="2" t="s">
        <v>251</v>
      </c>
      <c r="K69" s="2" t="s">
        <v>63</v>
      </c>
      <c r="L69" s="2" t="s">
        <v>30</v>
      </c>
      <c r="M69" s="2">
        <v>52630</v>
      </c>
      <c r="N69" s="2" t="s">
        <v>45</v>
      </c>
      <c r="O69" s="2">
        <v>4861</v>
      </c>
      <c r="P69" s="2" t="s">
        <v>65</v>
      </c>
      <c r="Q69" s="2">
        <v>18</v>
      </c>
      <c r="R69" s="2">
        <v>3</v>
      </c>
      <c r="S69" s="2" t="s">
        <v>33</v>
      </c>
      <c r="T69" s="2" t="s">
        <v>96</v>
      </c>
      <c r="U69" s="2" t="s">
        <v>46</v>
      </c>
    </row>
    <row r="70" spans="1:21">
      <c r="A70" s="2">
        <v>10069</v>
      </c>
      <c r="B70" s="2" t="s">
        <v>252</v>
      </c>
      <c r="C70" s="2" t="s">
        <v>22</v>
      </c>
      <c r="D70" s="2">
        <v>59</v>
      </c>
      <c r="E70" s="2" t="s">
        <v>68</v>
      </c>
      <c r="F70" s="2" t="s">
        <v>80</v>
      </c>
      <c r="G70" s="2" t="s">
        <v>72</v>
      </c>
      <c r="H70" s="2" t="s">
        <v>41</v>
      </c>
      <c r="I70" s="2" t="s">
        <v>229</v>
      </c>
      <c r="J70" s="2" t="s">
        <v>253</v>
      </c>
      <c r="K70" s="2" t="s">
        <v>111</v>
      </c>
      <c r="L70" s="2" t="s">
        <v>44</v>
      </c>
      <c r="M70" s="2">
        <v>43990</v>
      </c>
      <c r="N70" s="2" t="s">
        <v>64</v>
      </c>
      <c r="O70" s="2">
        <v>6110</v>
      </c>
      <c r="P70" s="2" t="s">
        <v>32</v>
      </c>
      <c r="Q70" s="2">
        <v>6</v>
      </c>
      <c r="R70" s="2">
        <v>5</v>
      </c>
      <c r="S70" s="2" t="s">
        <v>47</v>
      </c>
      <c r="T70" s="2" t="s">
        <v>56</v>
      </c>
      <c r="U70" s="2" t="s">
        <v>57</v>
      </c>
    </row>
    <row r="71" spans="1:21">
      <c r="A71" s="2">
        <v>10070</v>
      </c>
      <c r="B71" s="2" t="s">
        <v>254</v>
      </c>
      <c r="C71" s="2" t="s">
        <v>37</v>
      </c>
      <c r="D71" s="2">
        <v>40</v>
      </c>
      <c r="E71" s="2" t="s">
        <v>59</v>
      </c>
      <c r="F71" s="2" t="s">
        <v>80</v>
      </c>
      <c r="G71" s="2" t="s">
        <v>121</v>
      </c>
      <c r="H71" s="2" t="s">
        <v>51</v>
      </c>
      <c r="I71" s="2" t="s">
        <v>255</v>
      </c>
      <c r="J71" s="2" t="s">
        <v>256</v>
      </c>
      <c r="K71" s="2" t="s">
        <v>63</v>
      </c>
      <c r="L71" s="2" t="s">
        <v>30</v>
      </c>
      <c r="M71" s="2">
        <v>94985</v>
      </c>
      <c r="N71" s="2" t="s">
        <v>64</v>
      </c>
      <c r="O71" s="2">
        <v>1488</v>
      </c>
      <c r="P71" s="2" t="s">
        <v>46</v>
      </c>
      <c r="Q71" s="2">
        <v>19</v>
      </c>
      <c r="R71" s="2">
        <v>4</v>
      </c>
      <c r="S71" s="2" t="s">
        <v>33</v>
      </c>
      <c r="T71" s="2" t="s">
        <v>75</v>
      </c>
      <c r="U71" s="2" t="s">
        <v>57</v>
      </c>
    </row>
    <row r="72" spans="1:21">
      <c r="A72" s="2">
        <v>10071</v>
      </c>
      <c r="B72" s="2" t="s">
        <v>257</v>
      </c>
      <c r="C72" s="2" t="s">
        <v>37</v>
      </c>
      <c r="D72" s="2">
        <v>50</v>
      </c>
      <c r="E72" s="2" t="s">
        <v>98</v>
      </c>
      <c r="F72" s="2" t="s">
        <v>39</v>
      </c>
      <c r="G72" s="2" t="s">
        <v>50</v>
      </c>
      <c r="H72" s="2" t="s">
        <v>51</v>
      </c>
      <c r="I72" s="2" t="s">
        <v>229</v>
      </c>
      <c r="J72" s="2" t="s">
        <v>258</v>
      </c>
      <c r="K72" s="2" t="s">
        <v>63</v>
      </c>
      <c r="L72" s="2" t="s">
        <v>44</v>
      </c>
      <c r="M72" s="2">
        <v>65838</v>
      </c>
      <c r="N72" s="2" t="s">
        <v>45</v>
      </c>
      <c r="O72" s="2">
        <v>9661</v>
      </c>
      <c r="P72" s="2" t="s">
        <v>46</v>
      </c>
      <c r="Q72" s="2">
        <v>10</v>
      </c>
      <c r="R72" s="2">
        <v>1</v>
      </c>
      <c r="S72" s="2" t="s">
        <v>46</v>
      </c>
      <c r="T72" s="2" t="s">
        <v>96</v>
      </c>
      <c r="U72" s="2" t="s">
        <v>57</v>
      </c>
    </row>
    <row r="73" spans="1:21">
      <c r="A73" s="2">
        <v>10072</v>
      </c>
      <c r="B73" s="2" t="s">
        <v>259</v>
      </c>
      <c r="C73" s="2" t="s">
        <v>22</v>
      </c>
      <c r="D73" s="2">
        <v>25</v>
      </c>
      <c r="E73" s="2" t="s">
        <v>23</v>
      </c>
      <c r="F73" s="2" t="s">
        <v>102</v>
      </c>
      <c r="G73" s="2" t="s">
        <v>25</v>
      </c>
      <c r="H73" s="2" t="s">
        <v>26</v>
      </c>
      <c r="I73" s="2" t="s">
        <v>255</v>
      </c>
      <c r="J73" s="2" t="s">
        <v>156</v>
      </c>
      <c r="K73" s="2" t="s">
        <v>111</v>
      </c>
      <c r="L73" s="2" t="s">
        <v>54</v>
      </c>
      <c r="M73" s="2">
        <v>55313</v>
      </c>
      <c r="N73" s="2" t="s">
        <v>55</v>
      </c>
      <c r="O73" s="2">
        <v>2421</v>
      </c>
      <c r="P73" s="2" t="s">
        <v>46</v>
      </c>
      <c r="Q73" s="2">
        <v>18</v>
      </c>
      <c r="R73" s="2">
        <v>3</v>
      </c>
      <c r="S73" s="2" t="s">
        <v>33</v>
      </c>
      <c r="T73" s="2" t="s">
        <v>75</v>
      </c>
      <c r="U73" s="2" t="s">
        <v>46</v>
      </c>
    </row>
    <row r="74" spans="1:21">
      <c r="A74" s="2">
        <v>10073</v>
      </c>
      <c r="B74" s="2" t="s">
        <v>260</v>
      </c>
      <c r="C74" s="2" t="s">
        <v>22</v>
      </c>
      <c r="D74" s="2">
        <v>42</v>
      </c>
      <c r="E74" s="2" t="s">
        <v>59</v>
      </c>
      <c r="F74" s="2" t="s">
        <v>102</v>
      </c>
      <c r="G74" s="2" t="s">
        <v>121</v>
      </c>
      <c r="H74" s="2" t="s">
        <v>51</v>
      </c>
      <c r="I74" s="2" t="s">
        <v>255</v>
      </c>
      <c r="J74" s="2" t="s">
        <v>261</v>
      </c>
      <c r="K74" s="2" t="s">
        <v>63</v>
      </c>
      <c r="L74" s="2" t="s">
        <v>44</v>
      </c>
      <c r="M74" s="2">
        <v>44964</v>
      </c>
      <c r="N74" s="2" t="s">
        <v>45</v>
      </c>
      <c r="O74" s="2">
        <v>6062</v>
      </c>
      <c r="P74" s="2" t="s">
        <v>46</v>
      </c>
      <c r="Q74" s="2">
        <v>18</v>
      </c>
      <c r="R74" s="2">
        <v>3</v>
      </c>
      <c r="S74" s="2" t="s">
        <v>47</v>
      </c>
      <c r="T74" s="2" t="s">
        <v>34</v>
      </c>
      <c r="U74" s="2" t="s">
        <v>35</v>
      </c>
    </row>
    <row r="75" spans="1:21">
      <c r="A75" s="2">
        <v>10074</v>
      </c>
      <c r="B75" s="2" t="s">
        <v>262</v>
      </c>
      <c r="C75" s="2" t="s">
        <v>37</v>
      </c>
      <c r="D75" s="2">
        <v>60</v>
      </c>
      <c r="E75" s="2" t="s">
        <v>68</v>
      </c>
      <c r="F75" s="2" t="s">
        <v>24</v>
      </c>
      <c r="G75" s="2" t="s">
        <v>121</v>
      </c>
      <c r="H75" s="2" t="s">
        <v>81</v>
      </c>
      <c r="I75" s="2" t="s">
        <v>219</v>
      </c>
      <c r="J75" s="2" t="s">
        <v>263</v>
      </c>
      <c r="K75" s="2" t="s">
        <v>29</v>
      </c>
      <c r="L75" s="2" t="s">
        <v>44</v>
      </c>
      <c r="M75" s="2">
        <v>32801</v>
      </c>
      <c r="N75" s="2" t="s">
        <v>45</v>
      </c>
      <c r="O75" s="2">
        <v>7841</v>
      </c>
      <c r="P75" s="2" t="s">
        <v>65</v>
      </c>
      <c r="Q75" s="2">
        <v>19</v>
      </c>
      <c r="R75" s="2">
        <v>4</v>
      </c>
      <c r="S75" s="2" t="s">
        <v>46</v>
      </c>
      <c r="T75" s="2" t="s">
        <v>66</v>
      </c>
      <c r="U75" s="2" t="s">
        <v>46</v>
      </c>
    </row>
    <row r="76" spans="1:21">
      <c r="A76" s="2">
        <v>10075</v>
      </c>
      <c r="B76" s="2" t="s">
        <v>264</v>
      </c>
      <c r="C76" s="2" t="s">
        <v>37</v>
      </c>
      <c r="D76" s="2">
        <v>59</v>
      </c>
      <c r="E76" s="2" t="s">
        <v>68</v>
      </c>
      <c r="F76" s="2" t="s">
        <v>39</v>
      </c>
      <c r="G76" s="2" t="s">
        <v>121</v>
      </c>
      <c r="H76" s="2" t="s">
        <v>41</v>
      </c>
      <c r="I76" s="2" t="s">
        <v>214</v>
      </c>
      <c r="J76" s="2" t="s">
        <v>265</v>
      </c>
      <c r="K76" s="2" t="s">
        <v>29</v>
      </c>
      <c r="L76" s="2" t="s">
        <v>30</v>
      </c>
      <c r="M76" s="2">
        <v>91316</v>
      </c>
      <c r="N76" s="2" t="s">
        <v>31</v>
      </c>
      <c r="O76" s="2">
        <v>9911</v>
      </c>
      <c r="P76" s="2" t="s">
        <v>32</v>
      </c>
      <c r="Q76" s="2">
        <v>14</v>
      </c>
      <c r="R76" s="2">
        <v>3</v>
      </c>
      <c r="S76" s="2" t="s">
        <v>47</v>
      </c>
      <c r="T76" s="2" t="s">
        <v>66</v>
      </c>
      <c r="U76" s="2" t="s">
        <v>35</v>
      </c>
    </row>
    <row r="77" spans="1:21">
      <c r="A77" s="2">
        <v>10076</v>
      </c>
      <c r="B77" s="2" t="s">
        <v>266</v>
      </c>
      <c r="C77" s="2" t="s">
        <v>22</v>
      </c>
      <c r="D77" s="2">
        <v>58</v>
      </c>
      <c r="E77" s="2" t="s">
        <v>68</v>
      </c>
      <c r="F77" s="2" t="s">
        <v>49</v>
      </c>
      <c r="G77" s="2" t="s">
        <v>121</v>
      </c>
      <c r="H77" s="2" t="s">
        <v>41</v>
      </c>
      <c r="I77" s="2" t="s">
        <v>229</v>
      </c>
      <c r="J77" s="2" t="s">
        <v>267</v>
      </c>
      <c r="K77" s="2" t="s">
        <v>111</v>
      </c>
      <c r="L77" s="2" t="s">
        <v>44</v>
      </c>
      <c r="M77" s="2">
        <v>39073</v>
      </c>
      <c r="N77" s="2" t="s">
        <v>55</v>
      </c>
      <c r="O77" s="2">
        <v>6895</v>
      </c>
      <c r="P77" s="2" t="s">
        <v>46</v>
      </c>
      <c r="Q77" s="2">
        <v>8</v>
      </c>
      <c r="R77" s="2">
        <v>1</v>
      </c>
      <c r="S77" s="2" t="s">
        <v>46</v>
      </c>
      <c r="T77" s="2" t="s">
        <v>75</v>
      </c>
      <c r="U77" s="2" t="s">
        <v>57</v>
      </c>
    </row>
    <row r="78" spans="1:21">
      <c r="A78" s="2">
        <v>10077</v>
      </c>
      <c r="B78" s="2" t="s">
        <v>268</v>
      </c>
      <c r="C78" s="2" t="s">
        <v>22</v>
      </c>
      <c r="D78" s="2">
        <v>49</v>
      </c>
      <c r="E78" s="2" t="s">
        <v>98</v>
      </c>
      <c r="F78" s="2" t="s">
        <v>24</v>
      </c>
      <c r="G78" s="2" t="s">
        <v>25</v>
      </c>
      <c r="H78" s="2" t="s">
        <v>26</v>
      </c>
      <c r="I78" s="2" t="s">
        <v>255</v>
      </c>
      <c r="J78" s="2" t="s">
        <v>269</v>
      </c>
      <c r="K78" s="2" t="s">
        <v>63</v>
      </c>
      <c r="L78" s="2" t="s">
        <v>44</v>
      </c>
      <c r="M78" s="2">
        <v>65508</v>
      </c>
      <c r="N78" s="2" t="s">
        <v>31</v>
      </c>
      <c r="O78" s="2">
        <v>1012</v>
      </c>
      <c r="P78" s="2" t="s">
        <v>46</v>
      </c>
      <c r="Q78" s="2">
        <v>13</v>
      </c>
      <c r="R78" s="2">
        <v>5</v>
      </c>
      <c r="S78" s="2" t="s">
        <v>46</v>
      </c>
      <c r="T78" s="2" t="s">
        <v>56</v>
      </c>
      <c r="U78" s="2" t="s">
        <v>46</v>
      </c>
    </row>
    <row r="79" spans="1:21">
      <c r="A79" s="2">
        <v>10078</v>
      </c>
      <c r="B79" s="2" t="s">
        <v>270</v>
      </c>
      <c r="C79" s="2" t="s">
        <v>37</v>
      </c>
      <c r="D79" s="2">
        <v>27</v>
      </c>
      <c r="E79" s="2" t="s">
        <v>38</v>
      </c>
      <c r="F79" s="2" t="s">
        <v>39</v>
      </c>
      <c r="G79" s="2" t="s">
        <v>72</v>
      </c>
      <c r="H79" s="2" t="s">
        <v>51</v>
      </c>
      <c r="I79" s="2" t="s">
        <v>214</v>
      </c>
      <c r="J79" s="2" t="s">
        <v>271</v>
      </c>
      <c r="K79" s="2" t="s">
        <v>29</v>
      </c>
      <c r="L79" s="2" t="s">
        <v>54</v>
      </c>
      <c r="M79" s="2">
        <v>32152</v>
      </c>
      <c r="N79" s="2" t="s">
        <v>45</v>
      </c>
      <c r="O79" s="2">
        <v>2312</v>
      </c>
      <c r="P79" s="2" t="s">
        <v>32</v>
      </c>
      <c r="Q79" s="2">
        <v>7</v>
      </c>
      <c r="R79" s="2">
        <v>2</v>
      </c>
      <c r="S79" s="2" t="s">
        <v>46</v>
      </c>
      <c r="T79" s="2" t="s">
        <v>56</v>
      </c>
      <c r="U79" s="2" t="s">
        <v>35</v>
      </c>
    </row>
    <row r="80" spans="1:21">
      <c r="A80" s="2">
        <v>10079</v>
      </c>
      <c r="B80" s="2" t="s">
        <v>252</v>
      </c>
      <c r="C80" s="2" t="s">
        <v>37</v>
      </c>
      <c r="D80" s="2">
        <v>35</v>
      </c>
      <c r="E80" s="2" t="s">
        <v>38</v>
      </c>
      <c r="F80" s="2" t="s">
        <v>80</v>
      </c>
      <c r="G80" s="2" t="s">
        <v>25</v>
      </c>
      <c r="H80" s="2" t="s">
        <v>81</v>
      </c>
      <c r="I80" s="2" t="s">
        <v>222</v>
      </c>
      <c r="J80" s="2" t="s">
        <v>272</v>
      </c>
      <c r="K80" s="2" t="s">
        <v>111</v>
      </c>
      <c r="L80" s="2" t="s">
        <v>30</v>
      </c>
      <c r="M80" s="2">
        <v>85710</v>
      </c>
      <c r="N80" s="2" t="s">
        <v>31</v>
      </c>
      <c r="O80" s="2">
        <v>3870</v>
      </c>
      <c r="P80" s="2" t="s">
        <v>46</v>
      </c>
      <c r="Q80" s="2">
        <v>12</v>
      </c>
      <c r="R80" s="2">
        <v>1</v>
      </c>
      <c r="S80" s="2" t="s">
        <v>46</v>
      </c>
      <c r="T80" s="2" t="s">
        <v>66</v>
      </c>
      <c r="U80" s="2" t="s">
        <v>35</v>
      </c>
    </row>
    <row r="81" spans="1:21">
      <c r="A81" s="2">
        <v>10080</v>
      </c>
      <c r="B81" s="2" t="s">
        <v>266</v>
      </c>
      <c r="C81" s="2" t="s">
        <v>22</v>
      </c>
      <c r="D81" s="2">
        <v>38</v>
      </c>
      <c r="E81" s="2" t="s">
        <v>59</v>
      </c>
      <c r="F81" s="2" t="s">
        <v>39</v>
      </c>
      <c r="G81" s="2" t="s">
        <v>40</v>
      </c>
      <c r="H81" s="2" t="s">
        <v>41</v>
      </c>
      <c r="I81" s="2" t="s">
        <v>222</v>
      </c>
      <c r="J81" s="2" t="s">
        <v>273</v>
      </c>
      <c r="K81" s="2" t="s">
        <v>29</v>
      </c>
      <c r="L81" s="2" t="s">
        <v>54</v>
      </c>
      <c r="M81" s="2">
        <v>73232</v>
      </c>
      <c r="N81" s="2" t="s">
        <v>45</v>
      </c>
      <c r="O81" s="2">
        <v>5506</v>
      </c>
      <c r="P81" s="2" t="s">
        <v>65</v>
      </c>
      <c r="Q81" s="2">
        <v>9</v>
      </c>
      <c r="R81" s="2">
        <v>1</v>
      </c>
      <c r="S81" s="2" t="s">
        <v>33</v>
      </c>
      <c r="T81" s="2" t="s">
        <v>34</v>
      </c>
      <c r="U81" s="2" t="s">
        <v>35</v>
      </c>
    </row>
    <row r="82" spans="1:21">
      <c r="A82" s="2">
        <v>10081</v>
      </c>
      <c r="B82" s="2" t="s">
        <v>274</v>
      </c>
      <c r="C82" s="2" t="s">
        <v>22</v>
      </c>
      <c r="D82" s="2">
        <v>23</v>
      </c>
      <c r="E82" s="2" t="s">
        <v>23</v>
      </c>
      <c r="F82" s="2" t="s">
        <v>102</v>
      </c>
      <c r="G82" s="2" t="s">
        <v>50</v>
      </c>
      <c r="H82" s="2" t="s">
        <v>41</v>
      </c>
      <c r="I82" s="2" t="s">
        <v>214</v>
      </c>
      <c r="J82" s="2" t="s">
        <v>275</v>
      </c>
      <c r="K82" s="2" t="s">
        <v>29</v>
      </c>
      <c r="L82" s="2" t="s">
        <v>30</v>
      </c>
      <c r="M82" s="2">
        <v>33994</v>
      </c>
      <c r="N82" s="2" t="s">
        <v>45</v>
      </c>
      <c r="O82" s="2">
        <v>1162</v>
      </c>
      <c r="P82" s="2" t="s">
        <v>32</v>
      </c>
      <c r="Q82" s="2">
        <v>5</v>
      </c>
      <c r="R82" s="2">
        <v>1</v>
      </c>
      <c r="S82" s="2" t="s">
        <v>33</v>
      </c>
      <c r="T82" s="2" t="s">
        <v>75</v>
      </c>
      <c r="U82" s="2" t="s">
        <v>35</v>
      </c>
    </row>
    <row r="83" spans="1:21">
      <c r="A83" s="2">
        <v>10082</v>
      </c>
      <c r="B83" s="2" t="s">
        <v>276</v>
      </c>
      <c r="C83" s="2" t="s">
        <v>37</v>
      </c>
      <c r="D83" s="2">
        <v>52</v>
      </c>
      <c r="E83" s="2" t="s">
        <v>98</v>
      </c>
      <c r="F83" s="2" t="s">
        <v>49</v>
      </c>
      <c r="G83" s="2" t="s">
        <v>25</v>
      </c>
      <c r="H83" s="2" t="s">
        <v>41</v>
      </c>
      <c r="I83" s="2" t="s">
        <v>229</v>
      </c>
      <c r="J83" s="2" t="s">
        <v>277</v>
      </c>
      <c r="K83" s="2" t="s">
        <v>63</v>
      </c>
      <c r="L83" s="2" t="s">
        <v>30</v>
      </c>
      <c r="M83" s="2">
        <v>32395</v>
      </c>
      <c r="N83" s="2" t="s">
        <v>45</v>
      </c>
      <c r="O83" s="2">
        <v>3515</v>
      </c>
      <c r="P83" s="2" t="s">
        <v>65</v>
      </c>
      <c r="Q83" s="2">
        <v>4</v>
      </c>
      <c r="R83" s="2">
        <v>5</v>
      </c>
      <c r="S83" s="2" t="s">
        <v>33</v>
      </c>
      <c r="T83" s="2" t="s">
        <v>34</v>
      </c>
      <c r="U83" s="2" t="s">
        <v>35</v>
      </c>
    </row>
    <row r="84" spans="1:21">
      <c r="A84" s="2">
        <v>10083</v>
      </c>
      <c r="B84" s="2" t="s">
        <v>278</v>
      </c>
      <c r="C84" s="2" t="s">
        <v>37</v>
      </c>
      <c r="D84" s="2">
        <v>50</v>
      </c>
      <c r="E84" s="2" t="s">
        <v>98</v>
      </c>
      <c r="F84" s="2" t="s">
        <v>49</v>
      </c>
      <c r="G84" s="2" t="s">
        <v>121</v>
      </c>
      <c r="H84" s="2" t="s">
        <v>81</v>
      </c>
      <c r="I84" s="2" t="s">
        <v>229</v>
      </c>
      <c r="J84" s="2" t="s">
        <v>279</v>
      </c>
      <c r="K84" s="2" t="s">
        <v>111</v>
      </c>
      <c r="L84" s="2" t="s">
        <v>54</v>
      </c>
      <c r="M84" s="2">
        <v>88353</v>
      </c>
      <c r="N84" s="2" t="s">
        <v>45</v>
      </c>
      <c r="O84" s="2">
        <v>6847</v>
      </c>
      <c r="P84" s="2" t="s">
        <v>32</v>
      </c>
      <c r="Q84" s="2">
        <v>15</v>
      </c>
      <c r="R84" s="2">
        <v>5</v>
      </c>
      <c r="S84" s="2" t="s">
        <v>33</v>
      </c>
      <c r="T84" s="2" t="s">
        <v>56</v>
      </c>
      <c r="U84" s="2" t="s">
        <v>57</v>
      </c>
    </row>
    <row r="85" spans="1:21">
      <c r="A85" s="2">
        <v>10084</v>
      </c>
      <c r="B85" s="2" t="s">
        <v>280</v>
      </c>
      <c r="C85" s="2" t="s">
        <v>22</v>
      </c>
      <c r="D85" s="2">
        <v>34</v>
      </c>
      <c r="E85" s="2" t="s">
        <v>38</v>
      </c>
      <c r="F85" s="2" t="s">
        <v>80</v>
      </c>
      <c r="G85" s="2" t="s">
        <v>121</v>
      </c>
      <c r="H85" s="2" t="s">
        <v>41</v>
      </c>
      <c r="I85" s="2" t="s">
        <v>232</v>
      </c>
      <c r="J85" s="2" t="s">
        <v>281</v>
      </c>
      <c r="K85" s="2" t="s">
        <v>111</v>
      </c>
      <c r="L85" s="2" t="s">
        <v>30</v>
      </c>
      <c r="M85" s="2">
        <v>47269</v>
      </c>
      <c r="N85" s="2" t="s">
        <v>45</v>
      </c>
      <c r="O85" s="2">
        <v>5626</v>
      </c>
      <c r="P85" s="2" t="s">
        <v>46</v>
      </c>
      <c r="Q85" s="2">
        <v>14</v>
      </c>
      <c r="R85" s="2">
        <v>3</v>
      </c>
      <c r="S85" s="2" t="s">
        <v>33</v>
      </c>
      <c r="T85" s="2" t="s">
        <v>34</v>
      </c>
      <c r="U85" s="2" t="s">
        <v>35</v>
      </c>
    </row>
    <row r="86" spans="1:21">
      <c r="A86" s="2">
        <v>10085</v>
      </c>
      <c r="B86" s="2" t="s">
        <v>282</v>
      </c>
      <c r="C86" s="2" t="s">
        <v>22</v>
      </c>
      <c r="D86" s="2">
        <v>40</v>
      </c>
      <c r="E86" s="2" t="s">
        <v>59</v>
      </c>
      <c r="F86" s="2" t="s">
        <v>39</v>
      </c>
      <c r="G86" s="2" t="s">
        <v>121</v>
      </c>
      <c r="H86" s="2" t="s">
        <v>81</v>
      </c>
      <c r="I86" s="2" t="s">
        <v>222</v>
      </c>
      <c r="J86" s="2" t="s">
        <v>283</v>
      </c>
      <c r="K86" s="2" t="s">
        <v>29</v>
      </c>
      <c r="L86" s="2" t="s">
        <v>30</v>
      </c>
      <c r="M86" s="2">
        <v>73454</v>
      </c>
      <c r="N86" s="2" t="s">
        <v>45</v>
      </c>
      <c r="O86" s="2">
        <v>4686</v>
      </c>
      <c r="P86" s="2" t="s">
        <v>46</v>
      </c>
      <c r="Q86" s="2">
        <v>3</v>
      </c>
      <c r="R86" s="2">
        <v>5</v>
      </c>
      <c r="S86" s="2" t="s">
        <v>47</v>
      </c>
      <c r="T86" s="2" t="s">
        <v>66</v>
      </c>
      <c r="U86" s="2" t="s">
        <v>46</v>
      </c>
    </row>
    <row r="87" spans="1:21">
      <c r="A87" s="2">
        <v>10086</v>
      </c>
      <c r="B87" s="2" t="s">
        <v>284</v>
      </c>
      <c r="C87" s="2" t="s">
        <v>37</v>
      </c>
      <c r="D87" s="2">
        <v>40</v>
      </c>
      <c r="E87" s="2" t="s">
        <v>59</v>
      </c>
      <c r="F87" s="2" t="s">
        <v>39</v>
      </c>
      <c r="G87" s="2" t="s">
        <v>121</v>
      </c>
      <c r="H87" s="2" t="s">
        <v>26</v>
      </c>
      <c r="I87" s="2" t="s">
        <v>214</v>
      </c>
      <c r="J87" s="2" t="s">
        <v>285</v>
      </c>
      <c r="K87" s="2" t="s">
        <v>29</v>
      </c>
      <c r="L87" s="2" t="s">
        <v>30</v>
      </c>
      <c r="M87" s="2">
        <v>94864</v>
      </c>
      <c r="N87" s="2" t="s">
        <v>31</v>
      </c>
      <c r="O87" s="2">
        <v>3983</v>
      </c>
      <c r="P87" s="2" t="s">
        <v>65</v>
      </c>
      <c r="Q87" s="2">
        <v>18</v>
      </c>
      <c r="R87" s="2">
        <v>3</v>
      </c>
      <c r="S87" s="2" t="s">
        <v>47</v>
      </c>
      <c r="T87" s="2" t="s">
        <v>96</v>
      </c>
      <c r="U87" s="2" t="s">
        <v>35</v>
      </c>
    </row>
    <row r="88" spans="1:21">
      <c r="A88" s="2">
        <v>10087</v>
      </c>
      <c r="B88" s="2" t="s">
        <v>254</v>
      </c>
      <c r="C88" s="2" t="s">
        <v>37</v>
      </c>
      <c r="D88" s="2">
        <v>52</v>
      </c>
      <c r="E88" s="2" t="s">
        <v>98</v>
      </c>
      <c r="F88" s="2" t="s">
        <v>80</v>
      </c>
      <c r="G88" s="2" t="s">
        <v>25</v>
      </c>
      <c r="H88" s="2" t="s">
        <v>41</v>
      </c>
      <c r="I88" s="2" t="s">
        <v>219</v>
      </c>
      <c r="J88" s="2" t="s">
        <v>286</v>
      </c>
      <c r="K88" s="2" t="s">
        <v>29</v>
      </c>
      <c r="L88" s="2" t="s">
        <v>30</v>
      </c>
      <c r="M88" s="2">
        <v>87544</v>
      </c>
      <c r="N88" s="2" t="s">
        <v>31</v>
      </c>
      <c r="O88" s="2">
        <v>5916</v>
      </c>
      <c r="P88" s="2" t="s">
        <v>32</v>
      </c>
      <c r="Q88" s="2">
        <v>10</v>
      </c>
      <c r="R88" s="2">
        <v>4</v>
      </c>
      <c r="S88" s="2" t="s">
        <v>47</v>
      </c>
      <c r="T88" s="2" t="s">
        <v>66</v>
      </c>
      <c r="U88" s="2" t="s">
        <v>57</v>
      </c>
    </row>
    <row r="89" spans="1:21">
      <c r="A89" s="2">
        <v>10088</v>
      </c>
      <c r="B89" s="2" t="s">
        <v>287</v>
      </c>
      <c r="C89" s="2" t="s">
        <v>37</v>
      </c>
      <c r="D89" s="2">
        <v>31</v>
      </c>
      <c r="E89" s="2" t="s">
        <v>38</v>
      </c>
      <c r="F89" s="2" t="s">
        <v>39</v>
      </c>
      <c r="G89" s="2" t="s">
        <v>72</v>
      </c>
      <c r="H89" s="2" t="s">
        <v>60</v>
      </c>
      <c r="I89" s="2" t="s">
        <v>219</v>
      </c>
      <c r="J89" s="2" t="s">
        <v>288</v>
      </c>
      <c r="K89" s="2" t="s">
        <v>29</v>
      </c>
      <c r="L89" s="2" t="s">
        <v>30</v>
      </c>
      <c r="M89" s="2">
        <v>38951</v>
      </c>
      <c r="N89" s="2" t="s">
        <v>45</v>
      </c>
      <c r="O89" s="2">
        <v>9412</v>
      </c>
      <c r="P89" s="2" t="s">
        <v>46</v>
      </c>
      <c r="Q89" s="2">
        <v>17</v>
      </c>
      <c r="R89" s="2">
        <v>5</v>
      </c>
      <c r="S89" s="2" t="s">
        <v>47</v>
      </c>
      <c r="T89" s="2" t="s">
        <v>96</v>
      </c>
      <c r="U89" s="2" t="s">
        <v>35</v>
      </c>
    </row>
    <row r="90" spans="1:21">
      <c r="A90" s="2">
        <v>10089</v>
      </c>
      <c r="B90" s="2" t="s">
        <v>289</v>
      </c>
      <c r="C90" s="2" t="s">
        <v>37</v>
      </c>
      <c r="D90" s="2">
        <v>47</v>
      </c>
      <c r="E90" s="2" t="s">
        <v>98</v>
      </c>
      <c r="F90" s="2" t="s">
        <v>49</v>
      </c>
      <c r="G90" s="2" t="s">
        <v>25</v>
      </c>
      <c r="H90" s="2" t="s">
        <v>81</v>
      </c>
      <c r="I90" s="2" t="s">
        <v>222</v>
      </c>
      <c r="J90" s="2" t="s">
        <v>290</v>
      </c>
      <c r="K90" s="2" t="s">
        <v>63</v>
      </c>
      <c r="L90" s="2" t="s">
        <v>54</v>
      </c>
      <c r="M90" s="2">
        <v>70521</v>
      </c>
      <c r="N90" s="2" t="s">
        <v>45</v>
      </c>
      <c r="O90" s="2">
        <v>8471</v>
      </c>
      <c r="P90" s="2" t="s">
        <v>32</v>
      </c>
      <c r="Q90" s="2">
        <v>7</v>
      </c>
      <c r="R90" s="2">
        <v>2</v>
      </c>
      <c r="S90" s="2" t="s">
        <v>47</v>
      </c>
      <c r="T90" s="2" t="s">
        <v>66</v>
      </c>
      <c r="U90" s="2" t="s">
        <v>57</v>
      </c>
    </row>
    <row r="91" spans="1:21">
      <c r="A91" s="2">
        <v>10090</v>
      </c>
      <c r="B91" s="2" t="s">
        <v>291</v>
      </c>
      <c r="C91" s="2" t="s">
        <v>37</v>
      </c>
      <c r="D91" s="2">
        <v>40</v>
      </c>
      <c r="E91" s="2" t="s">
        <v>59</v>
      </c>
      <c r="F91" s="2" t="s">
        <v>80</v>
      </c>
      <c r="G91" s="2" t="s">
        <v>72</v>
      </c>
      <c r="H91" s="2" t="s">
        <v>51</v>
      </c>
      <c r="I91" s="2" t="s">
        <v>229</v>
      </c>
      <c r="J91" s="2" t="s">
        <v>292</v>
      </c>
      <c r="K91" s="2" t="s">
        <v>29</v>
      </c>
      <c r="L91" s="2" t="s">
        <v>30</v>
      </c>
      <c r="M91" s="2">
        <v>94677</v>
      </c>
      <c r="N91" s="2" t="s">
        <v>31</v>
      </c>
      <c r="O91" s="2">
        <v>1436</v>
      </c>
      <c r="P91" s="2" t="s">
        <v>46</v>
      </c>
      <c r="Q91" s="2">
        <v>18</v>
      </c>
      <c r="R91" s="2">
        <v>3</v>
      </c>
      <c r="S91" s="2" t="s">
        <v>46</v>
      </c>
      <c r="T91" s="2" t="s">
        <v>34</v>
      </c>
      <c r="U91" s="2" t="s">
        <v>35</v>
      </c>
    </row>
    <row r="92" spans="1:21">
      <c r="A92" s="2">
        <v>10091</v>
      </c>
      <c r="B92" s="2" t="s">
        <v>293</v>
      </c>
      <c r="C92" s="2" t="s">
        <v>37</v>
      </c>
      <c r="D92" s="2">
        <v>39</v>
      </c>
      <c r="E92" s="2" t="s">
        <v>59</v>
      </c>
      <c r="F92" s="2" t="s">
        <v>102</v>
      </c>
      <c r="G92" s="2" t="s">
        <v>25</v>
      </c>
      <c r="H92" s="2" t="s">
        <v>41</v>
      </c>
      <c r="I92" s="2" t="s">
        <v>229</v>
      </c>
      <c r="J92" s="2" t="s">
        <v>294</v>
      </c>
      <c r="K92" s="2" t="s">
        <v>111</v>
      </c>
      <c r="L92" s="2" t="s">
        <v>44</v>
      </c>
      <c r="M92" s="2">
        <v>53505</v>
      </c>
      <c r="N92" s="2" t="s">
        <v>64</v>
      </c>
      <c r="O92" s="2">
        <v>6751</v>
      </c>
      <c r="P92" s="2" t="s">
        <v>32</v>
      </c>
      <c r="Q92" s="2">
        <v>16</v>
      </c>
      <c r="R92" s="2">
        <v>2</v>
      </c>
      <c r="S92" s="2" t="s">
        <v>47</v>
      </c>
      <c r="T92" s="2" t="s">
        <v>34</v>
      </c>
      <c r="U92" s="2" t="s">
        <v>35</v>
      </c>
    </row>
    <row r="93" spans="1:21">
      <c r="A93" s="2">
        <v>10092</v>
      </c>
      <c r="B93" s="2" t="s">
        <v>291</v>
      </c>
      <c r="C93" s="2" t="s">
        <v>37</v>
      </c>
      <c r="D93" s="2">
        <v>36</v>
      </c>
      <c r="E93" s="2" t="s">
        <v>59</v>
      </c>
      <c r="F93" s="2" t="s">
        <v>80</v>
      </c>
      <c r="G93" s="2" t="s">
        <v>50</v>
      </c>
      <c r="H93" s="2" t="s">
        <v>51</v>
      </c>
      <c r="I93" s="2" t="s">
        <v>214</v>
      </c>
      <c r="J93" s="2" t="s">
        <v>295</v>
      </c>
      <c r="K93" s="2" t="s">
        <v>29</v>
      </c>
      <c r="L93" s="2" t="s">
        <v>54</v>
      </c>
      <c r="M93" s="2">
        <v>51335</v>
      </c>
      <c r="N93" s="2" t="s">
        <v>55</v>
      </c>
      <c r="O93" s="2">
        <v>8535</v>
      </c>
      <c r="P93" s="2" t="s">
        <v>46</v>
      </c>
      <c r="Q93" s="2">
        <v>2</v>
      </c>
      <c r="R93" s="2">
        <v>5</v>
      </c>
      <c r="S93" s="2" t="s">
        <v>47</v>
      </c>
      <c r="T93" s="2" t="s">
        <v>34</v>
      </c>
      <c r="U93" s="2" t="s">
        <v>35</v>
      </c>
    </row>
    <row r="94" spans="1:21">
      <c r="A94" s="2">
        <v>10093</v>
      </c>
      <c r="B94" s="2" t="s">
        <v>296</v>
      </c>
      <c r="C94" s="2" t="s">
        <v>22</v>
      </c>
      <c r="D94" s="2">
        <v>46</v>
      </c>
      <c r="E94" s="2" t="s">
        <v>98</v>
      </c>
      <c r="F94" s="2" t="s">
        <v>39</v>
      </c>
      <c r="G94" s="2" t="s">
        <v>40</v>
      </c>
      <c r="H94" s="2" t="s">
        <v>41</v>
      </c>
      <c r="I94" s="2" t="s">
        <v>229</v>
      </c>
      <c r="J94" s="2" t="s">
        <v>297</v>
      </c>
      <c r="K94" s="2" t="s">
        <v>29</v>
      </c>
      <c r="L94" s="2" t="s">
        <v>44</v>
      </c>
      <c r="M94" s="2">
        <v>96587</v>
      </c>
      <c r="N94" s="2" t="s">
        <v>55</v>
      </c>
      <c r="O94" s="2">
        <v>4148</v>
      </c>
      <c r="P94" s="2" t="s">
        <v>65</v>
      </c>
      <c r="Q94" s="2">
        <v>15</v>
      </c>
      <c r="R94" s="2">
        <v>1</v>
      </c>
      <c r="S94" s="2" t="s">
        <v>46</v>
      </c>
      <c r="T94" s="2" t="s">
        <v>96</v>
      </c>
      <c r="U94" s="2" t="s">
        <v>35</v>
      </c>
    </row>
    <row r="95" spans="1:21">
      <c r="A95" s="2">
        <v>10094</v>
      </c>
      <c r="B95" s="2" t="s">
        <v>238</v>
      </c>
      <c r="C95" s="2" t="s">
        <v>37</v>
      </c>
      <c r="D95" s="2">
        <v>54</v>
      </c>
      <c r="E95" s="2" t="s">
        <v>98</v>
      </c>
      <c r="F95" s="2" t="s">
        <v>24</v>
      </c>
      <c r="G95" s="2" t="s">
        <v>72</v>
      </c>
      <c r="H95" s="2" t="s">
        <v>51</v>
      </c>
      <c r="I95" s="2" t="s">
        <v>222</v>
      </c>
      <c r="J95" s="2" t="s">
        <v>298</v>
      </c>
      <c r="K95" s="2" t="s">
        <v>111</v>
      </c>
      <c r="L95" s="2" t="s">
        <v>44</v>
      </c>
      <c r="M95" s="2">
        <v>81767</v>
      </c>
      <c r="N95" s="2" t="s">
        <v>31</v>
      </c>
      <c r="O95" s="2">
        <v>4425</v>
      </c>
      <c r="P95" s="2" t="s">
        <v>65</v>
      </c>
      <c r="Q95" s="2">
        <v>16</v>
      </c>
      <c r="R95" s="2">
        <v>1</v>
      </c>
      <c r="S95" s="2" t="s">
        <v>46</v>
      </c>
      <c r="T95" s="2" t="s">
        <v>34</v>
      </c>
      <c r="U95" s="2" t="s">
        <v>57</v>
      </c>
    </row>
    <row r="96" spans="1:21">
      <c r="A96" s="2">
        <v>10095</v>
      </c>
      <c r="B96" s="2" t="s">
        <v>299</v>
      </c>
      <c r="C96" s="2" t="s">
        <v>37</v>
      </c>
      <c r="D96" s="2">
        <v>54</v>
      </c>
      <c r="E96" s="2" t="s">
        <v>98</v>
      </c>
      <c r="F96" s="2" t="s">
        <v>39</v>
      </c>
      <c r="G96" s="2" t="s">
        <v>50</v>
      </c>
      <c r="H96" s="2" t="s">
        <v>41</v>
      </c>
      <c r="I96" s="2" t="s">
        <v>214</v>
      </c>
      <c r="J96" s="2" t="s">
        <v>290</v>
      </c>
      <c r="K96" s="2" t="s">
        <v>29</v>
      </c>
      <c r="L96" s="2" t="s">
        <v>30</v>
      </c>
      <c r="M96" s="2">
        <v>70567</v>
      </c>
      <c r="N96" s="2" t="s">
        <v>55</v>
      </c>
      <c r="O96" s="2">
        <v>3149</v>
      </c>
      <c r="P96" s="2" t="s">
        <v>65</v>
      </c>
      <c r="Q96" s="2">
        <v>15</v>
      </c>
      <c r="R96" s="2">
        <v>4</v>
      </c>
      <c r="S96" s="2" t="s">
        <v>46</v>
      </c>
      <c r="T96" s="2" t="s">
        <v>66</v>
      </c>
      <c r="U96" s="2" t="s">
        <v>57</v>
      </c>
    </row>
    <row r="97" spans="1:21">
      <c r="A97" s="2">
        <v>10096</v>
      </c>
      <c r="B97" s="2" t="s">
        <v>300</v>
      </c>
      <c r="C97" s="2" t="s">
        <v>22</v>
      </c>
      <c r="D97" s="2">
        <v>35</v>
      </c>
      <c r="E97" s="2" t="s">
        <v>38</v>
      </c>
      <c r="F97" s="2" t="s">
        <v>80</v>
      </c>
      <c r="G97" s="2" t="s">
        <v>121</v>
      </c>
      <c r="H97" s="2" t="s">
        <v>26</v>
      </c>
      <c r="I97" s="2" t="s">
        <v>222</v>
      </c>
      <c r="J97" s="2" t="s">
        <v>301</v>
      </c>
      <c r="K97" s="2" t="s">
        <v>111</v>
      </c>
      <c r="L97" s="2" t="s">
        <v>54</v>
      </c>
      <c r="M97" s="2">
        <v>47791</v>
      </c>
      <c r="N97" s="2" t="s">
        <v>45</v>
      </c>
      <c r="O97" s="2">
        <v>6443</v>
      </c>
      <c r="P97" s="2" t="s">
        <v>32</v>
      </c>
      <c r="Q97" s="2">
        <v>8</v>
      </c>
      <c r="R97" s="2">
        <v>5</v>
      </c>
      <c r="S97" s="2" t="s">
        <v>33</v>
      </c>
      <c r="T97" s="2" t="s">
        <v>34</v>
      </c>
      <c r="U97" s="2" t="s">
        <v>46</v>
      </c>
    </row>
    <row r="98" spans="1:21">
      <c r="A98" s="2">
        <v>10097</v>
      </c>
      <c r="B98" s="2" t="s">
        <v>293</v>
      </c>
      <c r="C98" s="2" t="s">
        <v>37</v>
      </c>
      <c r="D98" s="2">
        <v>23</v>
      </c>
      <c r="E98" s="2" t="s">
        <v>23</v>
      </c>
      <c r="F98" s="2" t="s">
        <v>80</v>
      </c>
      <c r="G98" s="2" t="s">
        <v>50</v>
      </c>
      <c r="H98" s="2" t="s">
        <v>60</v>
      </c>
      <c r="I98" s="2" t="s">
        <v>214</v>
      </c>
      <c r="J98" s="2" t="s">
        <v>302</v>
      </c>
      <c r="K98" s="2" t="s">
        <v>111</v>
      </c>
      <c r="L98" s="2" t="s">
        <v>30</v>
      </c>
      <c r="M98" s="2">
        <v>71619</v>
      </c>
      <c r="N98" s="2" t="s">
        <v>64</v>
      </c>
      <c r="O98" s="2">
        <v>2409</v>
      </c>
      <c r="P98" s="2" t="s">
        <v>32</v>
      </c>
      <c r="Q98" s="2">
        <v>20</v>
      </c>
      <c r="R98" s="2">
        <v>4</v>
      </c>
      <c r="S98" s="2" t="s">
        <v>46</v>
      </c>
      <c r="T98" s="2" t="s">
        <v>66</v>
      </c>
      <c r="U98" s="2" t="s">
        <v>46</v>
      </c>
    </row>
    <row r="99" spans="1:21">
      <c r="A99" s="2">
        <v>10098</v>
      </c>
      <c r="B99" s="2" t="s">
        <v>303</v>
      </c>
      <c r="C99" s="2" t="s">
        <v>37</v>
      </c>
      <c r="D99" s="2">
        <v>37</v>
      </c>
      <c r="E99" s="2" t="s">
        <v>59</v>
      </c>
      <c r="F99" s="2" t="s">
        <v>49</v>
      </c>
      <c r="G99" s="2" t="s">
        <v>72</v>
      </c>
      <c r="H99" s="2" t="s">
        <v>26</v>
      </c>
      <c r="I99" s="2" t="s">
        <v>219</v>
      </c>
      <c r="J99" s="2" t="s">
        <v>304</v>
      </c>
      <c r="K99" s="2" t="s">
        <v>111</v>
      </c>
      <c r="L99" s="2" t="s">
        <v>30</v>
      </c>
      <c r="M99" s="2">
        <v>38234</v>
      </c>
      <c r="N99" s="2" t="s">
        <v>64</v>
      </c>
      <c r="O99" s="2">
        <v>3160</v>
      </c>
      <c r="P99" s="2" t="s">
        <v>32</v>
      </c>
      <c r="Q99" s="2">
        <v>10</v>
      </c>
      <c r="R99" s="2">
        <v>2</v>
      </c>
      <c r="S99" s="2" t="s">
        <v>46</v>
      </c>
      <c r="T99" s="2" t="s">
        <v>66</v>
      </c>
      <c r="U99" s="2" t="s">
        <v>46</v>
      </c>
    </row>
    <row r="100" spans="1:21">
      <c r="A100" s="2">
        <v>10099</v>
      </c>
      <c r="B100" s="2" t="s">
        <v>305</v>
      </c>
      <c r="C100" s="2" t="s">
        <v>22</v>
      </c>
      <c r="D100" s="2">
        <v>33</v>
      </c>
      <c r="E100" s="2" t="s">
        <v>38</v>
      </c>
      <c r="F100" s="2" t="s">
        <v>24</v>
      </c>
      <c r="G100" s="2" t="s">
        <v>72</v>
      </c>
      <c r="H100" s="2" t="s">
        <v>26</v>
      </c>
      <c r="I100" s="2" t="s">
        <v>222</v>
      </c>
      <c r="J100" s="2" t="s">
        <v>306</v>
      </c>
      <c r="K100" s="2" t="s">
        <v>111</v>
      </c>
      <c r="L100" s="2" t="s">
        <v>30</v>
      </c>
      <c r="M100" s="2">
        <v>54528</v>
      </c>
      <c r="N100" s="2" t="s">
        <v>55</v>
      </c>
      <c r="O100" s="2">
        <v>5238</v>
      </c>
      <c r="P100" s="2" t="s">
        <v>32</v>
      </c>
      <c r="Q100" s="2">
        <v>9</v>
      </c>
      <c r="R100" s="2">
        <v>3</v>
      </c>
      <c r="S100" s="2" t="s">
        <v>46</v>
      </c>
      <c r="T100" s="2" t="s">
        <v>56</v>
      </c>
      <c r="U100" s="2" t="s">
        <v>46</v>
      </c>
    </row>
    <row r="101" spans="1:21">
      <c r="A101" s="3">
        <v>10100</v>
      </c>
      <c r="B101" s="3" t="s">
        <v>307</v>
      </c>
      <c r="C101" s="3" t="s">
        <v>22</v>
      </c>
      <c r="D101" s="3">
        <v>26</v>
      </c>
      <c r="E101" s="3" t="s">
        <v>38</v>
      </c>
      <c r="F101" s="3" t="s">
        <v>102</v>
      </c>
      <c r="G101" s="3" t="s">
        <v>72</v>
      </c>
      <c r="H101" s="3" t="s">
        <v>81</v>
      </c>
      <c r="I101" s="3" t="s">
        <v>214</v>
      </c>
      <c r="J101" s="3" t="s">
        <v>308</v>
      </c>
      <c r="K101" s="3" t="s">
        <v>63</v>
      </c>
      <c r="L101" s="3" t="s">
        <v>30</v>
      </c>
      <c r="M101" s="3">
        <v>54125</v>
      </c>
      <c r="N101" s="3" t="s">
        <v>55</v>
      </c>
      <c r="O101" s="3">
        <v>9708</v>
      </c>
      <c r="P101" s="3" t="s">
        <v>32</v>
      </c>
      <c r="Q101" s="3">
        <v>0</v>
      </c>
      <c r="R101" s="3">
        <v>1</v>
      </c>
      <c r="S101" s="3" t="s">
        <v>47</v>
      </c>
      <c r="T101" s="3" t="s">
        <v>34</v>
      </c>
      <c r="U101" s="3" t="s">
        <v>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M.A Ansari</cp:lastModifiedBy>
  <dcterms:created xsi:type="dcterms:W3CDTF">2026-07-22T08:04:25Z</dcterms:created>
  <dcterms:modified xsi:type="dcterms:W3CDTF">2026-09-26T15:47:47Z</dcterms:modified>
</cp:coreProperties>
</file>